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FC6D560-F0F7-4198-85D8-4CCF122B9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T-MAT-002" sheetId="2" r:id="rId1"/>
    <sheet name="LISTAS" sheetId="1" r:id="rId2"/>
    <sheet name="ANEXO" sheetId="3" r:id="rId3"/>
  </sheets>
  <externalReferences>
    <externalReference r:id="rId4"/>
  </externalReferences>
  <definedNames>
    <definedName name="Factores">'[1]Factores de riesgo'!$B$4:$B$67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khmQk0R86oojZXi5BKZBe/S+j3Xl3dAxS7HH3+peF4E="/>
    </ext>
  </extLst>
</workbook>
</file>

<file path=xl/calcChain.xml><?xml version="1.0" encoding="utf-8"?>
<calcChain xmlns="http://schemas.openxmlformats.org/spreadsheetml/2006/main">
  <c r="Z47" i="2" l="1"/>
  <c r="Y47" i="2"/>
  <c r="V47" i="2"/>
  <c r="U47" i="2"/>
  <c r="X47" i="2" s="1"/>
  <c r="Z32" i="2"/>
  <c r="Z31" i="2"/>
  <c r="Y31" i="2"/>
  <c r="Y32" i="2"/>
  <c r="V32" i="2"/>
  <c r="U32" i="2"/>
  <c r="V31" i="2"/>
  <c r="U31" i="2"/>
  <c r="X31" i="2" s="1"/>
  <c r="Z29" i="2"/>
  <c r="U29" i="2"/>
  <c r="U52" i="2"/>
  <c r="X52" i="2" s="1"/>
  <c r="U51" i="2"/>
  <c r="X51" i="2" s="1"/>
  <c r="U50" i="2"/>
  <c r="V50" i="2" s="1"/>
  <c r="U49" i="2"/>
  <c r="X49" i="2" s="1"/>
  <c r="U48" i="2"/>
  <c r="V48" i="2" s="1"/>
  <c r="U46" i="2"/>
  <c r="X46" i="2" s="1"/>
  <c r="X45" i="2"/>
  <c r="Z45" i="2" s="1"/>
  <c r="V45" i="2"/>
  <c r="U44" i="2"/>
  <c r="X44" i="2" s="1"/>
  <c r="U43" i="2"/>
  <c r="V43" i="2" s="1"/>
  <c r="U42" i="2"/>
  <c r="X42" i="2" s="1"/>
  <c r="Z42" i="2" s="1"/>
  <c r="U41" i="2"/>
  <c r="V41" i="2" s="1"/>
  <c r="U40" i="2"/>
  <c r="X40" i="2" s="1"/>
  <c r="X39" i="2"/>
  <c r="Y39" i="2" s="1"/>
  <c r="V39" i="2"/>
  <c r="U38" i="2"/>
  <c r="V38" i="2" s="1"/>
  <c r="U37" i="2"/>
  <c r="V37" i="2" s="1"/>
  <c r="U36" i="2"/>
  <c r="X36" i="2" s="1"/>
  <c r="U35" i="2"/>
  <c r="X35" i="2" s="1"/>
  <c r="U34" i="2"/>
  <c r="X34" i="2" s="1"/>
  <c r="U33" i="2"/>
  <c r="X33" i="2" s="1"/>
  <c r="U30" i="2"/>
  <c r="X30" i="2" s="1"/>
  <c r="U28" i="2"/>
  <c r="X28" i="2" s="1"/>
  <c r="U27" i="2"/>
  <c r="V27" i="2" s="1"/>
  <c r="X26" i="2"/>
  <c r="Y26" i="2" s="1"/>
  <c r="V26" i="2"/>
  <c r="U25" i="2"/>
  <c r="X25" i="2" s="1"/>
  <c r="Y25" i="2" s="1"/>
  <c r="U24" i="2"/>
  <c r="X24" i="2" s="1"/>
  <c r="U23" i="2"/>
  <c r="X23" i="2" s="1"/>
  <c r="U22" i="2"/>
  <c r="V22" i="2" s="1"/>
  <c r="U21" i="2"/>
  <c r="X21" i="2" s="1"/>
  <c r="U20" i="2"/>
  <c r="V20" i="2" s="1"/>
  <c r="U19" i="2"/>
  <c r="X19" i="2" s="1"/>
  <c r="Z19" i="2" s="1"/>
  <c r="U18" i="2"/>
  <c r="X18" i="2" s="1"/>
  <c r="U17" i="2"/>
  <c r="X17" i="2" s="1"/>
  <c r="U16" i="2"/>
  <c r="X16" i="2" s="1"/>
  <c r="U15" i="2"/>
  <c r="X15" i="2" s="1"/>
  <c r="U14" i="2"/>
  <c r="V14" i="2" s="1"/>
  <c r="U13" i="2"/>
  <c r="X13" i="2" s="1"/>
  <c r="Y13" i="2" s="1"/>
  <c r="U12" i="2"/>
  <c r="X12" i="2" s="1"/>
  <c r="U11" i="2"/>
  <c r="V11" i="2" s="1"/>
  <c r="X32" i="2" l="1"/>
  <c r="V29" i="2"/>
  <c r="X29" i="2"/>
  <c r="Y29" i="2" s="1"/>
  <c r="V24" i="2"/>
  <c r="X27" i="2"/>
  <c r="Y27" i="2" s="1"/>
  <c r="X37" i="2"/>
  <c r="Z37" i="2" s="1"/>
  <c r="V19" i="2"/>
  <c r="V33" i="2"/>
  <c r="X22" i="2"/>
  <c r="V21" i="2"/>
  <c r="Z26" i="2"/>
  <c r="V15" i="2"/>
  <c r="Z27" i="2"/>
  <c r="V42" i="2"/>
  <c r="X48" i="2"/>
  <c r="Z48" i="2" s="1"/>
  <c r="X43" i="2"/>
  <c r="Z43" i="2" s="1"/>
  <c r="V49" i="2"/>
  <c r="V25" i="2"/>
  <c r="V13" i="2"/>
  <c r="V44" i="2"/>
  <c r="X14" i="2"/>
  <c r="Z14" i="2" s="1"/>
  <c r="Z39" i="2"/>
  <c r="X38" i="2"/>
  <c r="Z38" i="2" s="1"/>
  <c r="X20" i="2"/>
  <c r="Y20" i="2" s="1"/>
  <c r="V51" i="2"/>
  <c r="Y45" i="2"/>
  <c r="Y15" i="2"/>
  <c r="Z15" i="2"/>
  <c r="Z35" i="2"/>
  <c r="Y35" i="2"/>
  <c r="Z46" i="2"/>
  <c r="Y46" i="2"/>
  <c r="Y24" i="2"/>
  <c r="Z24" i="2"/>
  <c r="Z44" i="2"/>
  <c r="Y44" i="2"/>
  <c r="Z40" i="2"/>
  <c r="Y40" i="2"/>
  <c r="Z34" i="2"/>
  <c r="Y34" i="2"/>
  <c r="Z16" i="2"/>
  <c r="Y16" i="2"/>
  <c r="Z17" i="2"/>
  <c r="Y17" i="2"/>
  <c r="Z23" i="2"/>
  <c r="Y23" i="2"/>
  <c r="Z36" i="2"/>
  <c r="Y36" i="2"/>
  <c r="Z18" i="2"/>
  <c r="Y18" i="2"/>
  <c r="Z28" i="2"/>
  <c r="Y28" i="2"/>
  <c r="Y30" i="2"/>
  <c r="Z30" i="2"/>
  <c r="Y12" i="2"/>
  <c r="Z12" i="2"/>
  <c r="Z51" i="2"/>
  <c r="Y51" i="2"/>
  <c r="Y33" i="2"/>
  <c r="Z33" i="2"/>
  <c r="Z49" i="2"/>
  <c r="Y49" i="2"/>
  <c r="Y21" i="2"/>
  <c r="Z21" i="2"/>
  <c r="Y52" i="2"/>
  <c r="Z52" i="2"/>
  <c r="V12" i="2"/>
  <c r="X50" i="2"/>
  <c r="V36" i="2"/>
  <c r="V46" i="2"/>
  <c r="Y48" i="2"/>
  <c r="V18" i="2"/>
  <c r="V23" i="2"/>
  <c r="V28" i="2"/>
  <c r="X41" i="2"/>
  <c r="X11" i="2"/>
  <c r="Z13" i="2"/>
  <c r="V16" i="2"/>
  <c r="Z25" i="2"/>
  <c r="V34" i="2"/>
  <c r="V30" i="2"/>
  <c r="V52" i="2"/>
  <c r="V17" i="2"/>
  <c r="Y19" i="2"/>
  <c r="V35" i="2"/>
  <c r="Y37" i="2"/>
  <c r="V40" i="2"/>
  <c r="Y42" i="2"/>
  <c r="Y38" i="2" l="1"/>
  <c r="Y43" i="2"/>
  <c r="Y14" i="2"/>
  <c r="Z20" i="2"/>
  <c r="Y22" i="2"/>
  <c r="Z22" i="2"/>
  <c r="Z11" i="2"/>
  <c r="Y11" i="2"/>
  <c r="Z41" i="2"/>
  <c r="Y41" i="2"/>
  <c r="Z50" i="2"/>
  <c r="Y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9" authorId="0" shapeId="0" xr:uid="{00000000-0006-0000-0100-00000C000000}">
      <text>
        <r>
          <rPr>
            <sz val="10"/>
            <color rgb="FF000000"/>
            <rFont val="Arial"/>
            <family val="2"/>
            <scheme val="minor"/>
          </rPr>
          <t>======
ID#AAABZ3UJQBw
Asesora SSTA    (2024-12-04 00:03:43)
SE DEBE ESCRIBIR EL CONTROL QUE SE TIENE EXISTENTE EN ESTE MOMENTO</t>
        </r>
      </text>
    </comment>
    <comment ref="AA9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======
ID#AAABZ3UJQCA
Asesora SSTA    (2024-12-04 00:03:43)
Se debe diligenciar todos los espacios, si no aplica se debe describir que no aplica con un N/A</t>
        </r>
      </text>
    </comment>
    <comment ref="K10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======
ID#AAABZ3UJQCQ
Asesora SSTA    (2024-12-04 00:03:43)
SE DEBE ESPECIFICAR LA FUENTE GENERADORA DEL PELIGRO</t>
        </r>
      </text>
    </comment>
    <comment ref="Q10" authorId="0" shapeId="0" xr:uid="{00000000-0006-0000-0100-00000D000000}">
      <text>
        <r>
          <rPr>
            <sz val="10"/>
            <color rgb="FF000000"/>
            <rFont val="Arial"/>
            <family val="2"/>
            <scheme val="minor"/>
          </rPr>
          <t>======
ID#AAABZ3UJQB0
Asesora SSTA    (2024-12-04 00:03:43)
ABRIR DESPLEGABLE</t>
        </r>
      </text>
    </comment>
    <comment ref="R10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======
ID#AAABZ3UJQB8
Asesora SSTA    (2024-12-04 00:03:43)
SI ES EFECTIVO EL CONTROL COLOQUE UN SI, SI NO LO ES UN NO</t>
        </r>
      </text>
    </comment>
    <comment ref="U10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======
ID#AAABZ3UJQBo
ASUS    (2024-12-04 00:03:43)
NO MODIFICAR</t>
        </r>
      </text>
    </comment>
    <comment ref="V10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======
ID#AAABZ3UJQCI
ASUS    (2024-12-04 00:03:43)
NO MODIFICAR</t>
        </r>
      </text>
    </comment>
    <comment ref="X10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======
ID#AAABZ3UJQB4
ASUS    (2024-12-04 00:03:43)
NO MODIFICAR</t>
        </r>
      </text>
    </comment>
    <comment ref="Y1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ID#AAABZ3UJQCc
ASUS    (2024-12-04 00:03:43)
NO MODIFICAR</t>
        </r>
      </text>
    </comment>
    <comment ref="Z10" authorId="0" shapeId="0" xr:uid="{00000000-0006-0000-0100-00000E000000}">
      <text>
        <r>
          <rPr>
            <sz val="10"/>
            <color rgb="FF000000"/>
            <rFont val="Arial"/>
            <family val="2"/>
            <scheme val="minor"/>
          </rPr>
          <t>======
ID#AAABZ3UJQBs
ASUS    (2024-12-04 00:03:43)
NO MODIFICAR</t>
        </r>
      </text>
    </comment>
    <comment ref="AF10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======
ID#AAABZ3UJQCY
Asesora SSTA    (2024-12-04 00:03:43)
COLOCAR EL CONTROL A IMPLEMNETAR DE ACUERDO A LOS PROPUESTOS EN LA MATRIZ DE PELIGROS Y LOS PLANES DE ACCION EMITIDOS EN EL INFORME DE INVESTIGACION DE AT O IT</t>
        </r>
      </text>
    </comment>
    <comment ref="AH10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======
ID#AAABZ3UJQCE
Asesora SSTA    (2024-12-04 00:03:43)
COLOCAR QUE TIPO DE JERARQUIA ( ELIMINACION, SUSTITUCION, CONTROLES DE INGENIERIA, CONTROLES ADMINISTRATIVOS Y EPP)</t>
        </r>
      </text>
    </comment>
    <comment ref="AI10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======
ID#AAABZ3UJQCU
Asesora SSTA    (2024-12-04 00:03:43)
NO MODIFICAR LA FORMULA</t>
        </r>
      </text>
    </comment>
    <comment ref="AJ10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ID#AAABZ3UJQCM
Asesora SSTA    (2024-12-04 00:03:43)
NO MODIFICAR LA FORMULA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oe3rA8015m1j86yoMknqb2ZKDw=="/>
    </ext>
  </extLst>
</comments>
</file>

<file path=xl/sharedStrings.xml><?xml version="1.0" encoding="utf-8"?>
<sst xmlns="http://schemas.openxmlformats.org/spreadsheetml/2006/main" count="1500" uniqueCount="662">
  <si>
    <t>Tabla No. 1 Determinación del nivel de deficiencia</t>
  </si>
  <si>
    <t>Nivel de deficiencia</t>
  </si>
  <si>
    <t>Valor de ND</t>
  </si>
  <si>
    <t>Significado</t>
  </si>
  <si>
    <t>Muy Alto (MA)</t>
  </si>
  <si>
    <t>Se ha (n) detectado peligro (s) que determina(n) como posible la generación de incidentes  o consecuencias muy significativas, o la eficacia del conjunto de medidas preventivas existentes respecto al riesgo es nula o no existe, o ambas.</t>
  </si>
  <si>
    <t>Alto (A)</t>
  </si>
  <si>
    <t>Se ha (n) detectada algún (os) peligro (s) que pueden dar lugar a consecuencias significativa (s), o la eficacia del conjunto de medidas preventivas existentes es baja, o ambas.</t>
  </si>
  <si>
    <t>Medio (M)</t>
  </si>
  <si>
    <t>Se han detectado peligros que pueden dar lugar a consecuencias poco significativas o de menor importancia, o la eficacia del conjunto de medidas preventivas existentes es moderada, o ambas.</t>
  </si>
  <si>
    <t>Bajo (B)</t>
  </si>
  <si>
    <t>No se asigna valor</t>
  </si>
  <si>
    <t>No se ha detectado consecuencia alguna, o la eficacia del conjunto de medidas preventivas existentes es alta, o ambas. El riesgo está controlado.</t>
  </si>
  <si>
    <t>Tabla No. 2  Determinación del nivel de exposición</t>
  </si>
  <si>
    <t>Nivel de exposición</t>
  </si>
  <si>
    <t>Valor de NE</t>
  </si>
  <si>
    <t>Continua (EC)</t>
  </si>
  <si>
    <t>La situación de exposición se presenta sin interrupción o varias veces con tiempo prolongado durante la jornada laboral</t>
  </si>
  <si>
    <t>Frecuente (EF)</t>
  </si>
  <si>
    <t>La situación de exposición se presenta varias veces durante la jornada laboral por tiempos cortos</t>
  </si>
  <si>
    <t>Ocasional (EO)</t>
  </si>
  <si>
    <t>La situación de exposición se presenta alguna vez durante la jornada laboral y por un período de tiempo corto</t>
  </si>
  <si>
    <t>Esporádica (EE)</t>
  </si>
  <si>
    <t>La situación de exposición se presenta de manera eventual</t>
  </si>
  <si>
    <t>Tabla No. 3  Determinación del nivel de probabilidad</t>
  </si>
  <si>
    <t>Nivel de probabilidad</t>
  </si>
  <si>
    <t>Nivel de exposición (NE)</t>
  </si>
  <si>
    <t>Nivel de deficiencia (ND)</t>
  </si>
  <si>
    <t>MA-40</t>
  </si>
  <si>
    <t>MA-30</t>
  </si>
  <si>
    <t>A-20</t>
  </si>
  <si>
    <t>A-10</t>
  </si>
  <si>
    <t>MA-24</t>
  </si>
  <si>
    <t>A-18</t>
  </si>
  <si>
    <t>A-12</t>
  </si>
  <si>
    <t>M-6</t>
  </si>
  <si>
    <t>M-8</t>
  </si>
  <si>
    <t>B-4</t>
  </si>
  <si>
    <t>B-2</t>
  </si>
  <si>
    <t>Tabla No. 4 Significado de los diferentes niveles de probabilidad</t>
  </si>
  <si>
    <t>Valor de NP</t>
  </si>
  <si>
    <t>Entre 40 y 24</t>
  </si>
  <si>
    <t>Situación deficiente con exposición continua o muy deficiente con exposición frecuente. Normalmente la materialización del riesgo ocurre con frecuencia</t>
  </si>
  <si>
    <t>Entre 20 y 10</t>
  </si>
  <si>
    <t>situación deficiente con exposición frecuente u ocasioanal, o bien situación muy deficiente con exposición ocasional o esporádica.  La materialización del riesgo es posible que suceda varias veces en la vida laboral.</t>
  </si>
  <si>
    <t>Entre 8 y 6</t>
  </si>
  <si>
    <t>Situación deficiente con exposición esporádica o bien situación mejorada con exposición continuada o frecuente.  Es posible que suceda el daño alguna vez.</t>
  </si>
  <si>
    <t>Entre 4 y 2</t>
  </si>
  <si>
    <t>Situación mejorable con exposición ocasional o esporádica, o situación sin anomalía destacable con cualquier nivel de exposición.  No es esperable que se materialice el riesgo, aunque puede ser concebible.</t>
  </si>
  <si>
    <t>Tabla No. 5 Determinación del nivel de consecuencia</t>
  </si>
  <si>
    <t>Nivel de consecuencias</t>
  </si>
  <si>
    <t>Valor NC</t>
  </si>
  <si>
    <t>Daños personales</t>
  </si>
  <si>
    <t>Mortal o catastrófico (M)</t>
  </si>
  <si>
    <t>Muerte (s)</t>
  </si>
  <si>
    <t>Muy grave (MG)</t>
  </si>
  <si>
    <t>Lesiones o enfermedades graves irreparables (incapacidad permanente parcial o invalidez)</t>
  </si>
  <si>
    <t>Grave (G)</t>
  </si>
  <si>
    <t>Lesiones o enfermedades con incapacidad laboral temporal (ILT)</t>
  </si>
  <si>
    <t>Leve (L)</t>
  </si>
  <si>
    <t>Lesiones o enfermedades que no requieren incapacidad</t>
  </si>
  <si>
    <t>Tabla No. 6 Determinación del nivel de riesgo</t>
  </si>
  <si>
    <t>Nivel de riesgo NR = NP x NC</t>
  </si>
  <si>
    <t>Nivel de probabilidad (NP)</t>
  </si>
  <si>
    <t>40-24</t>
  </si>
  <si>
    <t>20-10</t>
  </si>
  <si>
    <t>8-6</t>
  </si>
  <si>
    <t>4-2</t>
  </si>
  <si>
    <t>Nivel de consecuencias (NC)</t>
  </si>
  <si>
    <t>I 4 000-2 400</t>
  </si>
  <si>
    <t>I 2 000-1 200</t>
  </si>
  <si>
    <t xml:space="preserve">I 800-600 </t>
  </si>
  <si>
    <t>II 400-200</t>
  </si>
  <si>
    <t>I 2 400-1 440</t>
  </si>
  <si>
    <t>I 1 200-600</t>
  </si>
  <si>
    <t>II 480 - 360</t>
  </si>
  <si>
    <t>II 200</t>
  </si>
  <si>
    <t>III 120</t>
  </si>
  <si>
    <t>I 1 000-600</t>
  </si>
  <si>
    <t>II 500 -250</t>
  </si>
  <si>
    <t>II 200 -150</t>
  </si>
  <si>
    <t>III 100 -50</t>
  </si>
  <si>
    <t>II 400-240</t>
  </si>
  <si>
    <t xml:space="preserve">II 200   </t>
  </si>
  <si>
    <t>III 80-60</t>
  </si>
  <si>
    <t>III 40  /  IV 20</t>
  </si>
  <si>
    <t xml:space="preserve">  III 100</t>
  </si>
  <si>
    <t>Tabla No. 7 Significado del nivel de riesgo</t>
  </si>
  <si>
    <t>Nivel de riesgo</t>
  </si>
  <si>
    <t>Valor de NR</t>
  </si>
  <si>
    <t>I</t>
  </si>
  <si>
    <t>400 - 600</t>
  </si>
  <si>
    <t>Situación crítica. Suspender actividades hasta que el riesgo esté bajo control. Intervención urgente</t>
  </si>
  <si>
    <t>II</t>
  </si>
  <si>
    <t>500 - 150</t>
  </si>
  <si>
    <t>Corregir y adoptar medidas de control de inmediato. Sin embargo, suspenda actividades si el nivel de riesgo está por encima o igual de 360</t>
  </si>
  <si>
    <t>III</t>
  </si>
  <si>
    <t>120 - 40</t>
  </si>
  <si>
    <t>Mejorar si es posible. Sería conveniente justificar la intervención y su rentabilidad.</t>
  </si>
  <si>
    <t>IV</t>
  </si>
  <si>
    <t>Mantener las medidas de control existentes, pero se deberían considerar soluciones o mejoras y se deben hacer comprobaciones periódicas para asegurar que el riesgo aún es aceptable.</t>
  </si>
  <si>
    <t>Tabla No. 8 Aceptabilidad del riesgo</t>
  </si>
  <si>
    <t>No aceptable</t>
  </si>
  <si>
    <t>No aceptable o aceptable con control específico</t>
  </si>
  <si>
    <t>Aceptable</t>
  </si>
  <si>
    <t>Peligro</t>
  </si>
  <si>
    <t>Descripcion</t>
  </si>
  <si>
    <t>Efectos posible</t>
  </si>
  <si>
    <t xml:space="preserve">Peor Consecuencia </t>
  </si>
  <si>
    <t>MECANISMO DEL ACCIDENTE</t>
  </si>
  <si>
    <t>Biologico</t>
  </si>
  <si>
    <t>Virus</t>
  </si>
  <si>
    <t>Fiebre Amarilla, SIDA,Rabia,Gripe,Hepatitis,Gripe Aviar,Influenza,Encefalitis</t>
  </si>
  <si>
    <t>Enfermedades agudas o cronicas</t>
  </si>
  <si>
    <t>CAIDA DE PERSONAS</t>
  </si>
  <si>
    <t>Fisico</t>
  </si>
  <si>
    <t>Bacterias</t>
  </si>
  <si>
    <t>Tetano,Tuberculosis,Colera,Lepra,Sifilis,Brucelosis,Neumonia, Fiebre tifoidea</t>
  </si>
  <si>
    <t>Incapacidad Permanente</t>
  </si>
  <si>
    <t xml:space="preserve">CAIDA DE OBJETOS </t>
  </si>
  <si>
    <t>Quimico</t>
  </si>
  <si>
    <t>Hongos</t>
  </si>
  <si>
    <t>Candidiasis</t>
  </si>
  <si>
    <t>Incapacidad Parcial</t>
  </si>
  <si>
    <t>PISADAS CHOQUES O GOLPES</t>
  </si>
  <si>
    <t>Psicosocial</t>
  </si>
  <si>
    <t>Ricketsias</t>
  </si>
  <si>
    <t xml:space="preserve">Fiebre,Omitosis </t>
  </si>
  <si>
    <t>Invalidez</t>
  </si>
  <si>
    <t>ATRAPAMIENTOS</t>
  </si>
  <si>
    <t>Biomecanico</t>
  </si>
  <si>
    <t>Parasitos</t>
  </si>
  <si>
    <t>Tenia ( Daño de Estomago)</t>
  </si>
  <si>
    <t>Muerte</t>
  </si>
  <si>
    <t xml:space="preserve">SOBREESFUERZOS,ESFUERZOEXCESIVO O FALSO MOVIMIENTO </t>
  </si>
  <si>
    <t>Condiciones de Seguridad</t>
  </si>
  <si>
    <t>Picaduras</t>
  </si>
  <si>
    <t>Lesiones inflamatorias,Dengue,Fiebre Amarilla,Malaria y Encefalitis</t>
  </si>
  <si>
    <t>Amputacion</t>
  </si>
  <si>
    <t>EXPOSICION O CONTACTO CON TEMPERATURAS EXTREMAS</t>
  </si>
  <si>
    <t>Fenomenos naturales</t>
  </si>
  <si>
    <t>Mordeduras</t>
  </si>
  <si>
    <t>Zoonosis,Fiebre,Mareos, Nauceas,Vomito,Dificultad Respiratoria,Rabia,tetanos</t>
  </si>
  <si>
    <t>Fracturas de Huesos Largos</t>
  </si>
  <si>
    <t>EXPOSICION O CONTACTO CON LA ELECTRICIDAD</t>
  </si>
  <si>
    <t>Fluidos o excrementos</t>
  </si>
  <si>
    <t>HIV,SIDA,Brucelosis,Leptospirosis,Histoplasmosis</t>
  </si>
  <si>
    <t>Trauma Craneo encefalico</t>
  </si>
  <si>
    <t xml:space="preserve">ESPOSICION O CONTACTO CON SUSTANCIAS NOCIVAS POR RADIACIONES O SALPICADURAS </t>
  </si>
  <si>
    <t>Ruido (de impacto,intermitente,continuo)</t>
  </si>
  <si>
    <t xml:space="preserve">Cefalea, estrés, Transtorno en el sueño </t>
  </si>
  <si>
    <t>Quemaduras de 2° y 3° Grado</t>
  </si>
  <si>
    <t>OTRO (Especifique)</t>
  </si>
  <si>
    <t>Iluminacion  (Luz visible po eceso o deficiencia)</t>
  </si>
  <si>
    <t>Fatiga Visual,Falta de concentracion y productividad</t>
  </si>
  <si>
    <t>Alteraciones severas de Mano</t>
  </si>
  <si>
    <t>Vibracion (Cuerpo entero, segmentaria)</t>
  </si>
  <si>
    <t>Transtornos Oculares</t>
  </si>
  <si>
    <t>Compromiso Medula espinal</t>
  </si>
  <si>
    <t>Temperaturas extremas (Calor y Frio)</t>
  </si>
  <si>
    <t xml:space="preserve">Debilitacion de la capacidad de agarre,disminucion de la sensacion y habilidad de las manos, sindrome del tunel carpiano </t>
  </si>
  <si>
    <t>Perdida Visual</t>
  </si>
  <si>
    <t>Presion Atmosferica (Normal y Ajustada)</t>
  </si>
  <si>
    <t>Gripe,Resfriado Comun, Rinofaringitis,Bronquitis,Amigdalitis,Sinusitis,Hipotermia,Pulmonia</t>
  </si>
  <si>
    <t>Disminucion auditiva</t>
  </si>
  <si>
    <t>Radiaciones ionizantes (Rayos x,gama,beta y alfa)</t>
  </si>
  <si>
    <t>Eczema,Eritema Solar,Insolacion,Deshidratacion,Impetigo,Alergia,</t>
  </si>
  <si>
    <t>Radiaciones no ionizantes (Laser,ultravioleta,infrarroja,radiofrecuencia,microondas)</t>
  </si>
  <si>
    <t xml:space="preserve">Otitis,Sinusitis,Molestias Faciales,Hipertension Pulmonar </t>
  </si>
  <si>
    <t>Polvos organicos, inorganicos</t>
  </si>
  <si>
    <t>Golpe de Calor, Alteraciones cardiovasculares,quemaduras,Cancer</t>
  </si>
  <si>
    <t>Fibras</t>
  </si>
  <si>
    <t>Eritema de la Piel,Malestar, Abortos, Mal formaciones,Hemorragias</t>
  </si>
  <si>
    <t>Liquidos (Nieblas y rocios)</t>
  </si>
  <si>
    <t>Neumoconiosis,Abestosis,Silicosis</t>
  </si>
  <si>
    <t>Gases y Vapores</t>
  </si>
  <si>
    <t>Bisinosis,Neumonitis,Asma, Dermatitis</t>
  </si>
  <si>
    <t>Humos metalicos, no metalicos</t>
  </si>
  <si>
    <t>Cancerigenos, Problemas respiratorios</t>
  </si>
  <si>
    <t>Material Particulado</t>
  </si>
  <si>
    <t>Afecciones respiratorias y cardiacas</t>
  </si>
  <si>
    <t>Gestion Organizacional (Estilo de mando,pago,contratación,participación,inducción y capacitación,bienestar social,evaluación del desempeño,manejo de cambios)</t>
  </si>
  <si>
    <t>Estrés,enfermedades cardiovasculares, respiratorias,inmunitarias,gastrointestinales, dermatológicas, endocrinológicas, musculoesqueléticas y mentales, acoso laboral</t>
  </si>
  <si>
    <t>Carasteristicas de la organización del trabajo (Comunicación, tecnología, organización del trabajo,demandas cualitativas y cuantitativas de la labor)</t>
  </si>
  <si>
    <t>Lesiones de los tendones, espalda y neurovasculares.</t>
  </si>
  <si>
    <t>Carasteristicas del grupo social de trabajo (Relaciones, cohesion,calidad de interacciones,trabajo de equipo)</t>
  </si>
  <si>
    <t>Lesiones osteomusculares, transtornos musculoesqueletico.</t>
  </si>
  <si>
    <t>Condiciones de la tarea (Carga Mental,contenido de la tarea,demandas emocionales,sistemas de control,definición de roles, monotonía,etc.)</t>
  </si>
  <si>
    <t>Sobreesfuerzo, esfuerzo excesivo,traumas,contusiones,heridas osteomusculares</t>
  </si>
  <si>
    <t>Interfase Persona- tarea ( Conocimientos, habilidadesen relación con la demanda de la tarea, iniciativa,autonomía y reconocimiento, identificación de la persona con la tarea y la organización)</t>
  </si>
  <si>
    <t>Pisadas,choques,golpes y atrapamientos</t>
  </si>
  <si>
    <t>Jornada de Trabajo ( Pausas, Trabajo nocturno, horas extras, descansos)</t>
  </si>
  <si>
    <t>Heridas,fracturas y lesiones osteomusculares</t>
  </si>
  <si>
    <t xml:space="preserve">Postura ( prolongada mantenida,forzada,antigravitacional)
</t>
  </si>
  <si>
    <t>Aplastamiento,contusion,quemaduras,amputacion,enucleacion,pinchazo,rasguños,traumas</t>
  </si>
  <si>
    <t>Esfuerzo</t>
  </si>
  <si>
    <t>Fracturas,quemaduras,fibrilacion ventricular y electrocuccion</t>
  </si>
  <si>
    <t>Movimientos repetitivos.</t>
  </si>
  <si>
    <t>Caidas de personas,caida de objetos</t>
  </si>
  <si>
    <t>Manipulacion manual de Cargas</t>
  </si>
  <si>
    <t>Golpes,contusiones,traumas,heridas,lesiones osteomusculares</t>
  </si>
  <si>
    <t>Mecanico (Elementos o partes de maquinas en movimiento)</t>
  </si>
  <si>
    <t>Heridas,traumas, Intoxicacion,muerte</t>
  </si>
  <si>
    <t>Mecanico ( herramientas,equipos cortopunzantes)</t>
  </si>
  <si>
    <t>Heridas, alteraciones del comportamiento, Muerte</t>
  </si>
  <si>
    <t>Mecanico (piezas a trabajar),</t>
  </si>
  <si>
    <t>Caida de personas a distinto nivel,heridas,traumas,contusiones,muerte</t>
  </si>
  <si>
    <t>Mecanico (materiales proyectados solidos o fluidos)</t>
  </si>
  <si>
    <t>Caida de personas a distinto nivel,atrapamientos,Intoxicacion,asfixia,heridas,traumas,quemaduras,muerte</t>
  </si>
  <si>
    <t>Electrico (Alta y baja tensión, estatica)</t>
  </si>
  <si>
    <t xml:space="preserve">Heridas, traumas,aplastamiento y muerte </t>
  </si>
  <si>
    <t>Locativo (Sistemas y medios de almacenamiento)</t>
  </si>
  <si>
    <t>Locativo (superficies de trabajo irregulares,deslizantes,con diferencia del nivel)</t>
  </si>
  <si>
    <t>Locativo (condiciones de orden y aseo)</t>
  </si>
  <si>
    <t>Locativo (caídas de objetos).</t>
  </si>
  <si>
    <t>Tecnologico (Explosion,fuga,derrame,incendio)</t>
  </si>
  <si>
    <t>Tecnologico (Fuga)</t>
  </si>
  <si>
    <t>Tecnologico (Derrame)</t>
  </si>
  <si>
    <t>Tecnologico (Incendio)</t>
  </si>
  <si>
    <t>Accidentes de Transito</t>
  </si>
  <si>
    <t>Publicos (Robos)</t>
  </si>
  <si>
    <t>Publicos (Atracos)</t>
  </si>
  <si>
    <t>Publicos (Asaltos)</t>
  </si>
  <si>
    <t>Publicos (Atentados)</t>
  </si>
  <si>
    <t>Publicos (De orden publico)</t>
  </si>
  <si>
    <t>Trabajo en Alturas</t>
  </si>
  <si>
    <t>Espacios Confinados</t>
  </si>
  <si>
    <t>Sismo</t>
  </si>
  <si>
    <t>Terremoto</t>
  </si>
  <si>
    <t>Vendaval</t>
  </si>
  <si>
    <t>Inundacion</t>
  </si>
  <si>
    <t>Derrumbe</t>
  </si>
  <si>
    <t>Precipitaciones, (lluvias,granizadas,heladas)</t>
  </si>
  <si>
    <t>Medidas de intervención</t>
  </si>
  <si>
    <t>Eliminación (antes de)</t>
  </si>
  <si>
    <t>Modificar un diseño para eliminar el peligro.</t>
  </si>
  <si>
    <t>Introducir dispositivos mecánicos de alzamiento para eliminar el peligro de manipulación manual</t>
  </si>
  <si>
    <t>Contar con ayudas mecanicas.</t>
  </si>
  <si>
    <t>Contar con programas de mantenimiento planificado a maquinas y equipos</t>
  </si>
  <si>
    <t>Máquinas más grandes y lentas en vez de otras más pequeñas y rápidas</t>
  </si>
  <si>
    <t>Matrices fijas en lugar de matrices de una operación</t>
  </si>
  <si>
    <t> Prensas en lugar de martillos</t>
  </si>
  <si>
    <t>Cizallas rotativas en vez de cizallas en escuadra</t>
  </si>
  <si>
    <t> Prensas hidráulicas en lugar de las mecánicas</t>
  </si>
  <si>
    <t>Correas de transmisión en vez de engranajes</t>
  </si>
  <si>
    <t>Remplazo ajuste de piezas gastadas o desbalanceadas de las máquinas</t>
  </si>
  <si>
    <t>Lubricación de las piezas de las máquinas y empleo de aceites de corte</t>
  </si>
  <si>
    <t>Forma y afilado adecuado de las herramientas de corte</t>
  </si>
  <si>
    <t>Utilizar  mínima cantidad de material radioactivo</t>
  </si>
  <si>
    <t>realizar mantenimiento preventivo, predictivo y correctivo a todas las sillas de la empresa.</t>
  </si>
  <si>
    <t>Incrementar el distanciamiento de la fuente.</t>
  </si>
  <si>
    <t>Sustitución (despues de)</t>
  </si>
  <si>
    <t>Sustituir por un material menos peligroso.</t>
  </si>
  <si>
    <t>Reducir la energía del sistema (reducir fuerza, amperaje, presión, temperatura)</t>
  </si>
  <si>
    <t>Cambiar una herramienta por otra de mayor impacto.</t>
  </si>
  <si>
    <t xml:space="preserve">Capacitar al personal </t>
  </si>
  <si>
    <t>Compresión en vez de remachado por impactos</t>
  </si>
  <si>
    <t>Soldadura en vez de remachado</t>
  </si>
  <si>
    <t>Trabajo en caliente en lugar de en frío</t>
  </si>
  <si>
    <t>Prensado en vez de laminado o forjado</t>
  </si>
  <si>
    <t>Ducha y lavabo al final de la jornada de trabajo</t>
  </si>
  <si>
    <t xml:space="preserve">adquirir una escalera </t>
  </si>
  <si>
    <t>Controles de ingenieria</t>
  </si>
  <si>
    <t>Instalar sistemas de ventilación</t>
  </si>
  <si>
    <t>Ubicar guardas de seguridad en las maquinas</t>
  </si>
  <si>
    <t xml:space="preserve">Anclamiento de maquinas </t>
  </si>
  <si>
    <t>Cerramiento acústico</t>
  </si>
  <si>
    <t>Instalar sistemas de extracción</t>
  </si>
  <si>
    <t>Sacar ventaja del progreso técnico para mejorar los controles</t>
  </si>
  <si>
    <t>Suministrar el elemento de protección personal para la tarea</t>
  </si>
  <si>
    <t>Capacitar al personal en trabajo seguro con equipos de computo, Implementar pausas activas.</t>
  </si>
  <si>
    <t>Implementar programa de manejo seguro de productos químicos que contemple: Almacenamiento, manipulación y disposición adecuada.</t>
  </si>
  <si>
    <t>Señalización, advertencias o controles administrativos</t>
  </si>
  <si>
    <t xml:space="preserve">Identificación de fallas humanas </t>
  </si>
  <si>
    <t>Instalar sistemas de alarmas</t>
  </si>
  <si>
    <t>Definir procedimientos de seguridad</t>
  </si>
  <si>
    <t xml:space="preserve">Capacitar al personal en trabajo seguro con equipos de computo, Implementar pausas activas.Realizar evaluaciones médicas ocupacionales (de tipo ergonómico) de ingreso, periódicas y de retiro al personal nuevo que ingresa a la empresa, así como evaluaciones médicas ocupacionales (de tipo ergonómico) periódicas y de retiro al personal antiguo de la empresa para descartar, controlar y hacer seguimiento a posibles lesiones osteomuculares en miembros superiores y espaldas </t>
  </si>
  <si>
    <t>Capacitar al personal en trabajo seguro con equipos de computo, Implementar pausas activas. Verificar que se cumpla con las normas de seguridad para trabajo frente a vioterminales</t>
  </si>
  <si>
    <t xml:space="preserve">Verificar que se cumpla con las normas de trabajo seguro frente a videoterminales. Implementar pausas activas.realizar evaluaciones medicas ocupacionales (VISIOMETRIAS) al personal (EXAMEN DE INGRESO, PERIODICOS Y DE RETIRO). utilizar pantallas antireflectivas para computadores, ubicar los computadores de manera paralela a la luz,tanto natural como artificial no se reflejen en las pantallas.  </t>
  </si>
  <si>
    <t>Conservar las herramientas en buen estado.</t>
  </si>
  <si>
    <t>Capacitar al personal en cumplimiento de las normas de transito por parte del personal, establecer sistemas de comunicación permanente con el personal  de la empresa en caso de emergencia .</t>
  </si>
  <si>
    <t>Capacitar al personal en manejo a la defensiva y situaciones difíciles.</t>
  </si>
  <si>
    <t xml:space="preserve">Implementar inspecciones de seguridad, determinando constantemente las condiciones de orden y aseo. Mantener bien demarcadas las áreas de circulación y almacenamiento. </t>
  </si>
  <si>
    <t xml:space="preserve">Implementar Programa de Riesgo Psicosocial (Res. 2646), divulgar Ley 1010 de Acoso Laboral                     Realizar actividades de Bienestar Laboral y Social </t>
  </si>
  <si>
    <t>Rotación de personal o rotación de tareas durante la jornada laboral, Periodicamente capacitar en Higiene Postural, Implementar Programa de Pausas Activas o de acondicionamiento físico</t>
  </si>
  <si>
    <t>Corte hacia AFUERA, no hacia su cuerpo para evitar cortarse.Use una herramienta estabilizadora, no sus dedos, para detener lo que va a cortar. Mantenga sus dedos a la vista y lejos del área de corte para evitar cortarse.Use utensilios para empujar el alimento, Nunca ponga su dedo cerca de una parte movible o del filo. Asegúrese de que todos los dispositivos de seguridad estén en su lugar en la cortadora de carne u otras maquinas para cortar. Estos utensilios están diseñados para proteger sus manos de las cuchillas y para que su ropa no se atore en las partes movibles de la cortadora. No use la máquina si no tiene los dispositivos de seguridad adecuados.</t>
  </si>
  <si>
    <t>Realizar inspecciones de seguridad, determinando constantemente las condiciones de orden y aseo . Mantener bien demarcadas las áreas de circulación y almacenamiento. Mantener limpia y seca el área cuando no se esté realizando labores de limpieza</t>
  </si>
  <si>
    <t xml:space="preserve">Verificar que se cumpla con las normas de trabajo seguro frente a videoterminales. Implementar pausas activas.realizar evaluaciones medicas ocupacionales (VISIOMETRIAS) al personal (EXAMEN DE INGRESO, PERIODICOS Y DE RETIRO). utilizar pantallas antireflectivas para computadores, ubicar los computadores de manera paralela a la luz,tanto natural como artificial no se reflejen en las pantallas. </t>
  </si>
  <si>
    <t>Promover la realización de capacitaciones sobre comunicación asertiva, manejo de clientes difíciles,  clima organizacional y manejo del estrés..Promover la práctica de pausas activas en el puesto de trabajo y práctica de Estilos de vida laboral saludables.</t>
  </si>
  <si>
    <t>Verificar que se cumpla con las normas de trabajo seguro frente a videoterminales. Implementar pausas activas.</t>
  </si>
  <si>
    <t>Rotación de personal o rotación de tareas durante la jornada laboral,Periodicamente capacitar en Higiene Postural                                                                   Implementar Programa de Pausas Activas o de acondicionamiento físico Para levantar y/o descargar cargas tenga en cuenta:
· Doblar las rodillas.
· Mantener la espalda recta. 
· Acercar hasta donde sea posible el objeto a su cuerpo. 
· Hacer la fuerza con las piernas, no con la espalda
· Al inclinarse o levantarse, no lo haga bruscamente.
· Cuando tenga que levantar carga que superen su capacidad física, utilice ayudas mecánicas  de no ser posible, pida ayuda a otro compañero y recuerde las normas para trabajar coordinadamente</t>
  </si>
  <si>
    <t>Definir medidas de prevención y/o de protección contra caídas</t>
  </si>
  <si>
    <t>Capacitar al personal en Seguridad y Sistemas de Almacenamiento y en autocuidado.</t>
  </si>
  <si>
    <t>Capacitar al personal en manejo de situaciones dificiles y medidas de actuación frente a emergencias</t>
  </si>
  <si>
    <t>Definir procedimientos de trabajo</t>
  </si>
  <si>
    <t>Realizar inspecciones de seguridad</t>
  </si>
  <si>
    <t>Señalizar áreas criticas y riesgos en las áreas de trabajo</t>
  </si>
  <si>
    <t>Adaptación del trabajo</t>
  </si>
  <si>
    <t>Disminuir el tiempo de exposición.</t>
  </si>
  <si>
    <t>Vigilancia médica</t>
  </si>
  <si>
    <t>No comer/ beber/ fumar en el lugar de trabajo</t>
  </si>
  <si>
    <t>Implementra programas de clima laboral</t>
  </si>
  <si>
    <t>Periodos de descanso</t>
  </si>
  <si>
    <t>Capacidades físicas y mentales de la persona</t>
  </si>
  <si>
    <t>EQUIPOS/ ELEMENTOS DE PROTECCION PERSONAL</t>
  </si>
  <si>
    <t xml:space="preserve">Capuchon </t>
  </si>
  <si>
    <t>Mascarilla respirable con cartuchos para gases y vapores</t>
  </si>
  <si>
    <t>Gafas de seguridad tipo buso</t>
  </si>
  <si>
    <t>Gafas de seguridad lente oscuro</t>
  </si>
  <si>
    <t>Equipos de proteccion contra caidas</t>
  </si>
  <si>
    <t>Gafas de seguridad lente claro</t>
  </si>
  <si>
    <t>Careta con visor</t>
  </si>
  <si>
    <t>Careta para soldadura</t>
  </si>
  <si>
    <t>Protector auditivo</t>
  </si>
  <si>
    <t>Respirador de cartucho químico</t>
  </si>
  <si>
    <t>Suministrar reposapiés en los puestos de trabajo que no cuentan con el recurso.</t>
  </si>
  <si>
    <t xml:space="preserve">Utilización permanente de equipo de protección personal, Supervisar su uso adecuado. </t>
  </si>
  <si>
    <t>supervicion adecuada</t>
  </si>
  <si>
    <t>Elementos de Protección Personal de acuerdo al Riesgo: Guantes, Botas, delantal, etc…</t>
  </si>
  <si>
    <t>Respirador para material particulado</t>
  </si>
  <si>
    <t>Mascarilla desechable</t>
  </si>
  <si>
    <t>Guantes de cuero</t>
  </si>
  <si>
    <t>Guantes de caucho</t>
  </si>
  <si>
    <t>Guantes de látex</t>
  </si>
  <si>
    <t>Guantes de nitrilo</t>
  </si>
  <si>
    <t>Guantes en hilaza</t>
  </si>
  <si>
    <t>Guantes en hilaza con pvc</t>
  </si>
  <si>
    <t>Guantes de carnaza</t>
  </si>
  <si>
    <t>Guantes de asbesto</t>
  </si>
  <si>
    <t>Guantes de acero</t>
  </si>
  <si>
    <t>Botas con puntera dielectrica</t>
  </si>
  <si>
    <t>Botas de caucho con puntera dielectrica</t>
  </si>
  <si>
    <t>Arnes de seguridad</t>
  </si>
  <si>
    <t>Peto en plástico</t>
  </si>
  <si>
    <t>Peto en pvc</t>
  </si>
  <si>
    <t>SEGURIDAD Y SALUD EN EL TRABAJO</t>
  </si>
  <si>
    <t>Código: 
SGI-SST-FO-12</t>
  </si>
  <si>
    <t>Fecha: 25/03/2022</t>
  </si>
  <si>
    <t>MATRIZ DE IDENTIFICACIÓN DE PELIGROS Y VALORACIÓN DE RIESGOS</t>
  </si>
  <si>
    <t>Versión: 02</t>
  </si>
  <si>
    <t>Página: 1 de 1</t>
  </si>
  <si>
    <t>PROCESO</t>
  </si>
  <si>
    <t>ACTIVIDADES</t>
  </si>
  <si>
    <t>TAREAS</t>
  </si>
  <si>
    <t>RUTINARIO 
(SI O NO)</t>
  </si>
  <si>
    <t>N° EXPUESTOS</t>
  </si>
  <si>
    <t xml:space="preserve">PELIGROS CONDICIONES INSEGURAS </t>
  </si>
  <si>
    <t xml:space="preserve">EFECTOS POSIBLES </t>
  </si>
  <si>
    <t>CONTROLES EXISTENTES</t>
  </si>
  <si>
    <t>EFECTIVIDAD DE  LOS CONTROLES</t>
  </si>
  <si>
    <t>(EVALUACION DEL RIESGO- GTC 45)</t>
  </si>
  <si>
    <t>VALORACION DEL RIESGO</t>
  </si>
  <si>
    <t>MEDIDAS DE INTERVENCIÓN PROPUESTAS</t>
  </si>
  <si>
    <t xml:space="preserve">GESTION DEL CAMBIO </t>
  </si>
  <si>
    <t>VICULADOS</t>
  </si>
  <si>
    <t>CONTRATISTAS E INDEPENDIENTES</t>
  </si>
  <si>
    <t>PARTES INTERESADAS (VISITANTES, PROVEEDORES Y VECINDADES)</t>
  </si>
  <si>
    <t>TOTAL</t>
  </si>
  <si>
    <t xml:space="preserve">CLASIFICACIÓN </t>
  </si>
  <si>
    <t>DESCRIPCIÓN</t>
  </si>
  <si>
    <t>ESPECIFICACION</t>
  </si>
  <si>
    <t>FUENTE</t>
  </si>
  <si>
    <t>MEDIO</t>
  </si>
  <si>
    <t>TRABAJADOR</t>
  </si>
  <si>
    <t>ACCIDENTALIDAD 
ASOCIADA</t>
  </si>
  <si>
    <t>EFECTIVIDAD</t>
  </si>
  <si>
    <t xml:space="preserve">NIVEL DE DEFICIENCIA (ND) </t>
  </si>
  <si>
    <t>NIVEL DE EXPOSICION (NE)</t>
  </si>
  <si>
    <t>(NP) - NIVEL DE PROBABILIDAD (NE*ND)</t>
  </si>
  <si>
    <t>INTERPRETACION DEL NIVEL DE PROBABILIDAD</t>
  </si>
  <si>
    <t>NIVEL DE CONSECUENCIA</t>
  </si>
  <si>
    <t>(NR) NIVEL DE RIESGO E INTERVENCION (NP*NC)</t>
  </si>
  <si>
    <t>INTERPRETACION DEL NIVEL DE RIESGO</t>
  </si>
  <si>
    <t>ACEPTABILIDAD DEL RIESGO</t>
  </si>
  <si>
    <t>ELIMINACIÓN</t>
  </si>
  <si>
    <t>SUSTITUCION</t>
  </si>
  <si>
    <t>CONTROLES DE INGENIERIA</t>
  </si>
  <si>
    <t>CONTROLES ADMINISTRATIVOS</t>
  </si>
  <si>
    <t xml:space="preserve">ELEMENTOS DE PROTECCION PERSONAL </t>
  </si>
  <si>
    <t xml:space="preserve">PLAN DE ACCION </t>
  </si>
  <si>
    <t>FECHA DE IMPLEMENTACION</t>
  </si>
  <si>
    <t xml:space="preserve">TIPO DE PLAN DE ACCION  (JERARQUIZACION DEL CONTROL) </t>
  </si>
  <si>
    <t>CONTROLES 
PROPUESTOS</t>
  </si>
  <si>
    <t>CONTROES 
IMPLEMENTADO</t>
  </si>
  <si>
    <t>% DE
CUMPLIMIENTO</t>
  </si>
  <si>
    <t xml:space="preserve">TRASLADO DEL PERSONAL </t>
  </si>
  <si>
    <t xml:space="preserve">Preparar sus puestos de trabajo para iniciar labores. </t>
  </si>
  <si>
    <t>SI</t>
  </si>
  <si>
    <t>Locativo (sistemas y medios de almacenamiento), superficies de trabajo (irregulares, deslizantes,
con diferencia del nivel), condiciones de orden y aseo,
(caídas de objeto)</t>
  </si>
  <si>
    <t>N/A</t>
  </si>
  <si>
    <t>Orden y aseo, limpieza en las instalaciones.</t>
  </si>
  <si>
    <t xml:space="preserve">• Concientizar en autocuidado.       •Botas de seguridad.    </t>
  </si>
  <si>
    <t>Politraumatismos, atropellamiento, contusiones,  lesiones moderadas a graves.</t>
  </si>
  <si>
    <t>Uso de capuchas.                    Uso de bloqueador solar.</t>
  </si>
  <si>
    <t xml:space="preserve">CARGUE Y DESCARGUE MANUAL </t>
  </si>
  <si>
    <t xml:space="preserve">Cargue y descargue de materia prima y producto terminado </t>
  </si>
  <si>
    <t>Gripes, enfermedades virales (Covid-19).</t>
  </si>
  <si>
    <t xml:space="preserve">Punto de lavados de manos.                            Señalizaciones de bioseguridad.            </t>
  </si>
  <si>
    <t>Uso de tapabocas durante toda su jornada laboral.</t>
  </si>
  <si>
    <t>Material particulado, generado por el producto  y  polvo del medio ambiente.</t>
  </si>
  <si>
    <t xml:space="preserve">Lesiones osteomusculares, hormigueo o rigidez en la espalda. </t>
  </si>
  <si>
    <t xml:space="preserve">• Realizar pausas activas 
• Trabajo en equipo
• Reportar condiciones de salud    
</t>
  </si>
  <si>
    <t xml:space="preserve">Uso de guantes de seguridad, durante la jornada laboral. </t>
  </si>
  <si>
    <t>Cargue y descargue de bultos.</t>
  </si>
  <si>
    <t xml:space="preserve">Hacer uso de la banda transportadora, montacargas, cada vez que sea necesario. </t>
  </si>
  <si>
    <t xml:space="preserve">• Realizar pausas activas 
• Trabajo en equipo
• Reportar condiciones de salud                              • Uso de EPP (Guantes de seguridad)    
</t>
  </si>
  <si>
    <t xml:space="preserve">Acordar con el cliente. </t>
  </si>
  <si>
    <t xml:space="preserve">Gerente de operaciones </t>
  </si>
  <si>
    <t xml:space="preserve">Cargue y descargue de bultos </t>
  </si>
  <si>
    <t xml:space="preserve">• Pausas activas 
• Trabajo en equipo
• Supervisión constante 
• Reporte de condiciones de salud    
</t>
  </si>
  <si>
    <t xml:space="preserve">Politraumatismos, contusiones,  lesiones moderadas a graves, golpes, fracturas. </t>
  </si>
  <si>
    <t xml:space="preserve">• Socialización del riesgo
• Uso de botas de seguridad con antideslizante
• Concientización en autocuidado.   
</t>
  </si>
  <si>
    <t xml:space="preserve">Botas de seguridad antideslizante. </t>
  </si>
  <si>
    <t xml:space="preserve">• Los vehículos solo serán atendidos cuando estén en la zona de parqueo asignada para esta labor. </t>
  </si>
  <si>
    <t xml:space="preserve">• Uso de los senderos peatonales 
• Nadie debe estar en los vehículos en la zona de carga cuando este esté en movimiento. 
</t>
  </si>
  <si>
    <t xml:space="preserve">• Socialización del riesgo 
• Uso de ropa con reflectivo                     
• Supervisión constante 
• Reporte de condiciones de seguridad
</t>
  </si>
  <si>
    <t xml:space="preserve">• Solicitar al cliente la delimitación de la velocidad en campo
• Hacer seguimiento para que los conductores no se ubiquen en las zonas de transito peatonal   
</t>
  </si>
  <si>
    <t>Uso de botas de seguridad durante la jornada laboral.</t>
  </si>
  <si>
    <t xml:space="preserve">Mecánico (Elementos o partes de maquinas, herramientas, equipos, piezas a trabajar, materiales
proyectados sólidos o fluidos) </t>
  </si>
  <si>
    <t>Golpes, cortes, laceraciones, abrasiones, punción, choques, aplastamiento.</t>
  </si>
  <si>
    <t xml:space="preserve">• Socialización del riesgo Psicosocial.
• Trabajo en equipo                   • Realizar pausas activas. 
</t>
  </si>
  <si>
    <t xml:space="preserve">CARGUE Y DESCARGUE CON AYUDA MECANICA </t>
  </si>
  <si>
    <t xml:space="preserve">Almacenamiento de producto. </t>
  </si>
  <si>
    <t xml:space="preserve">Postura sedente prolongada durante su jornada laboral. </t>
  </si>
  <si>
    <t>Molestias cervicales, abdominales, trastornos en la zona lumbar de la espalda y alteraciones del sistema circulatorio y nervioso que afectan, principalmente, a las piernas.</t>
  </si>
  <si>
    <t xml:space="preserve">Realizar pausas activas, higiene postural. </t>
  </si>
  <si>
    <t xml:space="preserve">Movimientos repetitivos al conducir el montacargas y movilizar el producto. </t>
  </si>
  <si>
    <t xml:space="preserve">Lesiones osteomusculares, hormigueo o rigidez en la espalda, piernas y brazos. </t>
  </si>
  <si>
    <t xml:space="preserve">• Socialización del riesgo
• Uso de casco de seguridad 
• Concientización en autocuidado y las buenas practicas    
</t>
  </si>
  <si>
    <t xml:space="preserve">Casco de seguridad y botas de seguridad. </t>
  </si>
  <si>
    <t xml:space="preserve">Tecnológico (explosión, fuga, derrame, incendio) </t>
  </si>
  <si>
    <t>Heridas, laceraciones, quemaduras, intoxicaciones.</t>
  </si>
  <si>
    <t xml:space="preserve">Extintor </t>
  </si>
  <si>
    <t xml:space="preserve">SECUENCIADOR DE COBRO </t>
  </si>
  <si>
    <t>Recaudar y secuenciar el cargue y el descargue.</t>
  </si>
  <si>
    <t>Material particulado, generado por los bultos de materia prima y polvo en el medio ambiente.</t>
  </si>
  <si>
    <t>Uso de EPP                           (Tapabocas)</t>
  </si>
  <si>
    <t xml:space="preserve">Públicos (robos, atracos, asaltos, atentados, de orden público, etc.) </t>
  </si>
  <si>
    <t>Recaudo de cobro de dinero por cargue de producto.</t>
  </si>
  <si>
    <t>Atentados, ataques y explosiones hurtos u robo.</t>
  </si>
  <si>
    <t xml:space="preserve">Capacitar sobre el riesgo. </t>
  </si>
  <si>
    <t xml:space="preserve">SUPERVISION  DEL PROYECTO </t>
  </si>
  <si>
    <t>BIOLÓGICO</t>
  </si>
  <si>
    <t>Bajo</t>
  </si>
  <si>
    <t>IV Mantener las medidas de control existentes, pero se deberían considerar soluciones o mejoras y se deben hacer comprobaciones periódicas para asegurar que el riesgo aún es tolerable.</t>
  </si>
  <si>
    <t>FÍSICO</t>
  </si>
  <si>
    <t xml:space="preserve">III Mejorar si es posible.  Sería conveniente justificar la intervención y su rentabilidad. </t>
  </si>
  <si>
    <t>QUÍMICO</t>
  </si>
  <si>
    <t>Medio</t>
  </si>
  <si>
    <t>PSICOSOCIAL</t>
  </si>
  <si>
    <t>BIOMECÁNICOS</t>
  </si>
  <si>
    <t>Alto</t>
  </si>
  <si>
    <t>CONDICIONES DE SEGURIDAD</t>
  </si>
  <si>
    <t>EMERGENCIAS</t>
  </si>
  <si>
    <t>FENÓMENOS NATURALES</t>
  </si>
  <si>
    <t>Parásitos</t>
  </si>
  <si>
    <t>II Corregir y adoptar medidas de control inmediato.  Sin embargo, suspenda actividades si el nivel de consecuencia está por encima de 60.</t>
  </si>
  <si>
    <t>No Aceptable</t>
  </si>
  <si>
    <t>Muy Alto</t>
  </si>
  <si>
    <t>Ruido (de impacto, intermitente y continuo)</t>
  </si>
  <si>
    <t>Iluminación (luz visible por exceso o deficiencia)</t>
  </si>
  <si>
    <t>Vibración (cuerpo entero, segmentaria)</t>
  </si>
  <si>
    <t>Temperaturas externas (calor y frío)</t>
  </si>
  <si>
    <t>Presión atmosférica (normal y ajustada)</t>
  </si>
  <si>
    <t>I Situación crítica.  Suspender actividades hasta que el riesgo esté bajo control.  Intervención urgente.</t>
  </si>
  <si>
    <t>Radiaciones ionizantes (rayos x, gama, beta y alfa)</t>
  </si>
  <si>
    <t>Radiaciones no ionizantes (láser, ultravioleta, infrarroja, radiofrecuencia, microondas)</t>
  </si>
  <si>
    <t>Polvos orgánicos e inorgánicos</t>
  </si>
  <si>
    <t>Líquidos (nieblas y rocíos)</t>
  </si>
  <si>
    <t>Gases y vapores</t>
  </si>
  <si>
    <t>Humos metálicos y no metálicos</t>
  </si>
  <si>
    <t>Material particulado</t>
  </si>
  <si>
    <t>PSICOSOCIALES</t>
  </si>
  <si>
    <t>Gestión organizacional (estilo de mando, pago, contratación, participación, inducción y capacitación, bienestar social, evaluación del desempeño, manejo de cambios)</t>
  </si>
  <si>
    <t>Características de la organización del trabajo (comunicación, tecnología, organización del trabajo, demandas cualitativas y cuantitativas de la labor)</t>
  </si>
  <si>
    <t>Características del grupo social del trabajo (relaciones, cohesión, calidad de interacciones, trabajo en equipo)</t>
  </si>
  <si>
    <t>Condiciones de la tarea (carga mental, contenido de la tarea, demandas emocionales, sistemas de control, definición de roles, monotonía, etc.)</t>
  </si>
  <si>
    <t>Interface persona - tarea (conocimientos, habilidades en relación a la demanda de la tarea, iniciativa, autonomía y reconocimiento, identificación de la persona con la tarea y la organización)</t>
  </si>
  <si>
    <t>Jornada de trabajo (pausas, trabajo nocturno, rotación, horas extras, descansos)</t>
  </si>
  <si>
    <t>Postura (prolongada mantenida, forzada, anti gravitacional)</t>
  </si>
  <si>
    <t>Movimiento repetitivo</t>
  </si>
  <si>
    <t>Manipulación manual de cargas</t>
  </si>
  <si>
    <t>Mecánico: (elementos o partes de máquinas, herramientas, equipos, piezas a trabajar, materiales proyectados sólidos o fluidos)</t>
  </si>
  <si>
    <t>Eléctrico (alta y baja tensión, estática)</t>
  </si>
  <si>
    <t>Locativo (Sistemas y medios de almacenamiento, ), superficies de trabajo (irregularidades, deslizantes, con diferencia de nivel), condiciones de orden y aseo, caída de objetos</t>
  </si>
  <si>
    <t>Tecnológico (explosión, fuga, derrame, incendio)</t>
  </si>
  <si>
    <t>Accidente de tránsito</t>
  </si>
  <si>
    <t>Públicos (robos, atracos, asaltos, atentados, de orden publico, etc.)</t>
  </si>
  <si>
    <t>Trabajos en alturas</t>
  </si>
  <si>
    <t>Trabajos en espacios confinados</t>
  </si>
  <si>
    <t>Trabajos en caliente (Quemaduras)</t>
  </si>
  <si>
    <t xml:space="preserve">Energías peligrosas (Eléctrica, neumática, mecánica, hidráulica, térmica, gases) </t>
  </si>
  <si>
    <t xml:space="preserve">NATURALES: Movimiento sísmico, tormentas eléctricas, inundaciones, vendavales, huracanes, granizada, </t>
  </si>
  <si>
    <t>TECNÓLOGICAS: Incendios, colapso estructuras, contaminación ambiental, explosión, escape de gases tóxicos, contaminación radioactiva, fallas de equipos y sistemas, intoxicación alimentaria, accidentes de tránsito interno y externo</t>
  </si>
  <si>
    <t>SOCIALES: Amenaza de bomba, asonada, desórdenes civiles, atentados, asaltos</t>
  </si>
  <si>
    <t>Inundación</t>
  </si>
  <si>
    <t>Precipitaciones (lluvias, granizadas, heladas)</t>
  </si>
  <si>
    <t xml:space="preserve">Situacion Crítica, correccion urgente </t>
  </si>
  <si>
    <t>Corregir o adoptar medidas de control</t>
  </si>
  <si>
    <t xml:space="preserve">Mejorable </t>
  </si>
  <si>
    <t xml:space="preserve">Mejorar el control existente </t>
  </si>
  <si>
    <t>No intervenir, salvo que un análisis mas preciso lo justifique</t>
  </si>
  <si>
    <t>Fiebre Amarilla, SIDA Rabia, Gripe, Hepatitis, Gripe Aviar, Influenza, Encefalitis</t>
  </si>
  <si>
    <t>Tetano, Tuberculosis, Colera, Lepra, Sifilis, Brucelosis, Neumonia, Fiebre tifoidea</t>
  </si>
  <si>
    <t xml:space="preserve">Fiebre, Omitosis </t>
  </si>
  <si>
    <t>Lesiones inflamatorias, Dengue, Fiebre Amarilla, Malaria y Encefalitis</t>
  </si>
  <si>
    <t>Zoonosis, Fiebre, Mareos, Nauceas,Vomito, Dificultad Respiratoria, Rabia, tetanos</t>
  </si>
  <si>
    <t>HIV, SIDA, Brucelosis,  Leptospirosis, Histoplasmosis</t>
  </si>
  <si>
    <t>Iluminacion  (Luz visible por exceso o deficiencia)</t>
  </si>
  <si>
    <t>Fatiga Visual,Falta de concentracion y productividad,Transtornos Oculares</t>
  </si>
  <si>
    <t>Gripe,Resfriado Comun, Rinofaringitis, Bronquitis, Amigdalitis, Sinusitis, Hipotermia, Pulmonia</t>
  </si>
  <si>
    <t>Eczema, Eritema Solar, Insolacion, Deshidratacion, Impetigo, Alergia.</t>
  </si>
  <si>
    <t xml:space="preserve">Otitis ,Sinusitis, Molestias Faciales, Hipertension Pulmonar </t>
  </si>
  <si>
    <t>Golpe de Calor, Alteraciones cardiovasculares, quemaduras, Cancer</t>
  </si>
  <si>
    <t>Eritema de la Piel, Malestar, Abortos, Mal formaciones, Hemorragias</t>
  </si>
  <si>
    <t>Neumoconiosis, Abestosis, Silicosis</t>
  </si>
  <si>
    <t>Bisinosis, Neumonitis, Asma, Dermatitis</t>
  </si>
  <si>
    <t>Dermatitis</t>
  </si>
  <si>
    <t>Estrés, enfermedades cardiovasculares, respiratorias, inmunitarias, gastrointestinales, dermatológicas, endocrinológicas, musculoesqueléticas y mentales, acoso laboral</t>
  </si>
  <si>
    <t>Caracteristicas de la organización del trabajo (Comunicación, tecnología, organización del trabajo,demandas cualitativas y cuantitativas de la labor)</t>
  </si>
  <si>
    <t>Caracteristicas del grupo social de trabajo (Relaciones, cohesion,calidad de interacciones,trabajo de equipo)</t>
  </si>
  <si>
    <t xml:space="preserve">Lesiones osteomusculares, trauma acumulativo y fatiga muscular </t>
  </si>
  <si>
    <t>Sobreesfuerzo, esfuerzo excesivo, traumas, contusiones, heridas osteomusculares</t>
  </si>
  <si>
    <t>Golpes y atrapamientos, heridas, fracturas y lesiones osteomusculares, aplastamiento, contusion, quemaduras, amputacion, enucleacion, pinchazo, rasguños, traumas</t>
  </si>
  <si>
    <t xml:space="preserve">Atrapamientos, golpes, contusiones por manipulacion, lesiones de tejido blando, fracturas, muerte </t>
  </si>
  <si>
    <t>Golpes, contusiones, traumas, heridas, lesiones osteomusculares.</t>
  </si>
  <si>
    <t>Contusiones, heridas, laceraciones, fracturas.</t>
  </si>
  <si>
    <t>Heridas, traumas, contusiones, muerte</t>
  </si>
  <si>
    <t>Atrapamientos, Intoxicacion, asfixia, heridas, traumas, quemaduras, muerte.</t>
  </si>
  <si>
    <t xml:space="preserve">Golpes, contusiones, fracturas y muerte </t>
  </si>
  <si>
    <t xml:space="preserve">Código:             </t>
  </si>
  <si>
    <t xml:space="preserve">Versión          </t>
  </si>
  <si>
    <t xml:space="preserve">Fecha        </t>
  </si>
  <si>
    <t>Página</t>
  </si>
  <si>
    <t>SST-MAT-02</t>
  </si>
  <si>
    <t xml:space="preserve"> 1 de 1 </t>
  </si>
  <si>
    <t xml:space="preserve">Solicitar al cliente demarcación de zonas peatonales. </t>
  </si>
  <si>
    <t>•  Inspecciones de orden y aseo.</t>
  </si>
  <si>
    <t xml:space="preserve"> • Inspecciones de orden y aseo.</t>
  </si>
  <si>
    <t>Gripes, enfermedades virales.</t>
  </si>
  <si>
    <t xml:space="preserve">Punto de lavados de manos.                                      </t>
  </si>
  <si>
    <t xml:space="preserve">• Uso de EPP  (Tapabocas - Gafas de seguridad).                        
 • Charla sobre el riesgo. </t>
  </si>
  <si>
    <t xml:space="preserve"> 
• Nadie debe estar en los vehículos en la zona de carga cuando este esté en movimiento. 
</t>
  </si>
  <si>
    <t xml:space="preserve">• Solicitar al cliente la delimitación de la velocidad en campo.
• Solicitar al cliente demarcación de zonas peatonales.    
</t>
  </si>
  <si>
    <t>Golpes, laceraciones, fracturas, atrapamiento y muerte.</t>
  </si>
  <si>
    <t xml:space="preserve">•  Elementos de protección personal (Epp), y equipos certificados.
•  Inspecciones los elementos, equipos y herramientas a utilizar. 
•  Sujétese con ambas manos al momento de ascender a los bultos.
•  Al momento de ascender, asegúrese que este bien anclado.
•   Uso de Epp y dotación suministrada para la ejecución de la tarea.
•   Reporte de las condiciones inseguras en el área. 
•  Precaución con los montacargas al momento que estén cargando y descargando los tráiler.
•  No uso de elementos distractores.  
•   No uso de canguros durante la ejecución durante la ejecución de las actividades. </t>
  </si>
  <si>
    <t xml:space="preserve">• Socialización del riesgo Psicosocial.
• Trabajo en equipo                   
• Realizar pausas activas. 
</t>
  </si>
  <si>
    <t xml:space="preserve">• Socialización del riesgo Psicosocial.
• Trabajo en equipo                  
 • Realizar pausas activas. 
</t>
  </si>
  <si>
    <t xml:space="preserve">• Realizar pausas activas 
• Reportar condiciones de salud                        
 • Charla sobre el riesgo.
</t>
  </si>
  <si>
    <t xml:space="preserve">
• Socialización del riesgo
• Supervisión constante 
• Reporte de condiciones de seguridad.
• Uso de EPP y ropa con reflectivo .
</t>
  </si>
  <si>
    <t xml:space="preserve">• Realizar inspecciones preoperacionales del montacargas.                                                                           • Certificado de operador.                                               
• Certificado de mantenimiento del montacargas.           
                                                                                      </t>
  </si>
  <si>
    <t>Uso de EPP (Tapabocas, Gafas de seguridad)</t>
  </si>
  <si>
    <t>Uso de tapabocas, gafas de seguridad  durante toda su jornada laboral.</t>
  </si>
  <si>
    <t xml:space="preserve">• Socialización del riesgo
• Uso de casco de seguridad 
• Concientización en autocuidado y las buenas practicas
• Reporte de condiciones inseguras     
</t>
  </si>
  <si>
    <t>Ultima fecha  de actualización:</t>
  </si>
  <si>
    <t xml:space="preserve">Nombre de quien realiza la actualización </t>
  </si>
  <si>
    <t xml:space="preserve">Cargo de quien realiza la actualización </t>
  </si>
  <si>
    <t xml:space="preserve">Circulación del personal hacia sus áreas operativas.                                   </t>
  </si>
  <si>
    <t xml:space="preserve">Traslado en las instalaciones, pisos resbalosos por presencia de producto en las zonas peatonales, humedad y/o condiciones del piso en mal estado. </t>
  </si>
  <si>
    <t xml:space="preserve">Caídas, golpes, fracturas, esguinces, luxaciones, etc. </t>
  </si>
  <si>
    <t xml:space="preserve">• Inspecciones periódicas a las áreas de trabajo.                   • Uso de los senderos peatonales. 
 • Reporte de condiciones inseguras </t>
  </si>
  <si>
    <t xml:space="preserve">Botas de seguridad. </t>
  </si>
  <si>
    <t>Accidentes que pueden ocasionar los vehículos o los equipos de montacarga  al interior de las instalaciones.</t>
  </si>
  <si>
    <t xml:space="preserve">Supervisión constante.                                     Uso de eps (dotación con reflectivos).           </t>
  </si>
  <si>
    <t xml:space="preserve">• Inspecciones periódicas a las áreas de trabajo.        
        • Señalización y demarcación.                                  
  • Vehículos y equipos de montacarga conducidos por personal capacitado.                                                                                         </t>
  </si>
  <si>
    <t>Uso de EPP (dotación con reflectivo)</t>
  </si>
  <si>
    <t>Químico</t>
  </si>
  <si>
    <t>Polvos orgánicos, inorgánicos</t>
  </si>
  <si>
    <t>Levantamiento de polvo por vehículos en transito y el ambiente.</t>
  </si>
  <si>
    <t xml:space="preserve">Obstrucción de las vías respiratorias, irritación en los ojos, alergias y enfermedades pulmonares. </t>
  </si>
  <si>
    <t xml:space="preserve">Uso de eps (tapabocas - Gafas de seguridad).   
Concientización de autocuidado.  </t>
  </si>
  <si>
    <t>Físico</t>
  </si>
  <si>
    <t xml:space="preserve">Exposición a altas temperaturas en zonas de cielo abierto. </t>
  </si>
  <si>
    <t xml:space="preserve">Deshidratación, fatiga, golpe de calor, nauseas, mareos, irritación de la piel. </t>
  </si>
  <si>
    <t xml:space="preserve">Suministro de puntos de hidratación. </t>
  </si>
  <si>
    <t>Sensibilización sobre temperaturas extremas.</t>
  </si>
  <si>
    <t xml:space="preserve">•  Mejorar los puntos de hidratación.                   </t>
  </si>
  <si>
    <t xml:space="preserve">Circulación desde las áreas operativas hasta la salida de las instalaciones. </t>
  </si>
  <si>
    <t>Trasladarse desde las áreas operativas hacia la salida de las instalaciones.</t>
  </si>
  <si>
    <t xml:space="preserve">• Inspecciones periódicas a las áreas de trabajo.       
</t>
  </si>
  <si>
    <t>Accidentes que pueden ocasionar los equipos de montacarga y los vehículos al interior de las instalaciones.</t>
  </si>
  <si>
    <t xml:space="preserve">• Inspecciones periódicas a las áreas de trabajo.   
• Uso de los senderos peatonales.                                                                     • Señalización y demarcación.                                   
 • Vehículos y equipos de montacarga  conducidos por personal capacitado.                                                                                         </t>
  </si>
  <si>
    <t>Suministro de gafas de seguridad y suministro de mascarillas.</t>
  </si>
  <si>
    <t xml:space="preserve"> • Mejorar los puntos de hidratación.                          </t>
  </si>
  <si>
    <t xml:space="preserve">Manipulación de los bultos al interior de los vehículos.  Levantamiento de carga hacia la zona de arrume. Levantamiento hacia la banda transportadora, planchado y desplanchado de bultos. </t>
  </si>
  <si>
    <t>Biológico</t>
  </si>
  <si>
    <t>Virus expuestos en el ambiente y posibles contagios de enfermades.</t>
  </si>
  <si>
    <t xml:space="preserve">Uso de EPP (Tapabocas).                                      Charlas sobre prevención de enfermedades virales.             </t>
  </si>
  <si>
    <t xml:space="preserve">• Sensibilización sobre la prevención de enfermedades virales.               </t>
  </si>
  <si>
    <t>Obstrucción de las vías respiratorias, enfermedades pulmonares.</t>
  </si>
  <si>
    <t xml:space="preserve">Limpieza y aseo en las áreas de trabajo </t>
  </si>
  <si>
    <t xml:space="preserve">• EMOS periódicos.                                                        
 • Charla sobre la prevención del riesgo. </t>
  </si>
  <si>
    <t>Ruido generado por el montacarga, vehículos y maquinaria de producción.</t>
  </si>
  <si>
    <t>Disminución de la capacidad auditiva, cefaleas, irritabilidad, estrés.</t>
  </si>
  <si>
    <t>• Uso de EPP (protección auditiva).      
 • Capacitación sobre protección auditiva y autocuidado.</t>
  </si>
  <si>
    <t xml:space="preserve">•  Capacitación sobre protección auditiva y autocuidado.                                                                  •  Exámenes periódicos.                                                       •  Programa de conservación auditiva.    </t>
  </si>
  <si>
    <t>Uso de tapa oídos  de inserción, cada vez que se requiera.</t>
  </si>
  <si>
    <t>Biomecánico</t>
  </si>
  <si>
    <t xml:space="preserve">Movimientos repetitivos al realizar el levantamiento de la carga y también al momento de realizar el descargue de la misma. </t>
  </si>
  <si>
    <t xml:space="preserve">Ayudas mecánicas </t>
  </si>
  <si>
    <t>• Inspección  en las áreas de cargue y descargue a los auxiliares, fomentando las buenas posturas y buenas practicas.                                                                   
• PVE osteomuscular.</t>
  </si>
  <si>
    <t>Manipulación manual de Cargas</t>
  </si>
  <si>
    <t xml:space="preserve">Fatiga física o lesiones como contusiones, cortes, heridas, fracturas y lesiones musculoesqueléticas en zonas sensibles como son los hombros, brazos, manos y espalda. </t>
  </si>
  <si>
    <t>• Inspección  en las áreas de cargue y descargue a los auxiliares, fomentando las buenas posturas y buenas practicas.                                                                  
 • PVE osteomuscular.</t>
  </si>
  <si>
    <t>Gestionar con los clientes la implementación de cargas de 25 kilos.</t>
  </si>
  <si>
    <t>Superficie de trabajo:  piso resbaloso por presencia de producto en la zona, humedad y/o condiciones del piso.</t>
  </si>
  <si>
    <t>Señalización de áreas deslizantes,  restricción de pasos por condiciones adversas.   
Inspecciones de campo y reporte de condiciones.</t>
  </si>
  <si>
    <t xml:space="preserve">• Aseo constante de las áreas de trabajo.
• Señalización de áreas de trabajo con este riesgo (caída y/o resbaloso) .                                               
 • Programa de orden y aseo  (personal constante realizando labores de aseo).
 </t>
  </si>
  <si>
    <t xml:space="preserve">Interacción con vehículos pesados, camiones, tractocamiones y tractomulas, al momento de realizar el cargue o descargue del producto. </t>
  </si>
  <si>
    <t xml:space="preserve">Dotación con reflectivos </t>
  </si>
  <si>
    <t>Eléctrico (Alta y baja tensión, estática)</t>
  </si>
  <si>
    <t>Interacción con la banda transportadora y cableado que se encuentra dentro de las instalaciones.</t>
  </si>
  <si>
    <t xml:space="preserve">Quemaduras, lesiones cutáneas, internas leves moderadas y/o graves. </t>
  </si>
  <si>
    <t xml:space="preserve">• Señalización de áreas con riesgo eléctrico.                      
•  Inspecciones a las instalaciones eléctricas. </t>
  </si>
  <si>
    <t xml:space="preserve">• Socialización del riesgo
• Uso de botas de seguridad 
• Concientización en autocuidado   (ningún trabajador esta autorizado a intervenir las redes eléctricas y/o cableados). 
</t>
  </si>
  <si>
    <t xml:space="preserve">• Divulgación del riesgo  
• Señalización en áreas de trabajo con este riesgo (riesgo eléctrico). 
 </t>
  </si>
  <si>
    <t xml:space="preserve">Interacción con la banda transportadora al momento de cargar los bultos de producto. </t>
  </si>
  <si>
    <t>•  Uso de guantes de seguridad.                          •  Socialización del riesgo.</t>
  </si>
  <si>
    <t xml:space="preserve">• Instructivo sobre el uso de la banda transportadora.                                                                   • Señalización del riesgo.                                           
 • Demarcación del área donde se encuentra el equipo. </t>
  </si>
  <si>
    <t xml:space="preserve">Desplanchado y planchado de bulto , descarpe de vehículos a una altura aproximadamente de 6.30 metros. </t>
  </si>
  <si>
    <t>Solicitar al cliente líneas de vida en las áreas donde no se cuenta con el dispositivo.</t>
  </si>
  <si>
    <t xml:space="preserve">•   Formación a los colaboradores en TSA.
• Exámenes médicos ocupacionales. en énfasis en alturas.
 • Charlas de seguridad  en temas relacionados con alturas.
•  Elaboración del ATS ( Análisis de trabajo seguro en alturas).
• Plan de rescate. 
• Lista de chequeo para la verificación de los equipos y dispositivos en alturas.
• Permiso para trabajo seguro en alturas. 
•  Capacitación para trabajo seguro en alturas ( Trabajador Autorizado - Reentrenamiento).
•  Hoja de vida de herramientas y equipos en alturas. </t>
  </si>
  <si>
    <t xml:space="preserve">Uso de guantes de seguridad, casco de seguridad tipo II con barbuquejo, Gafas de seguridad,  durante la jornada laboral. </t>
  </si>
  <si>
    <t xml:space="preserve">Estrés generado por la tareas; largas jornadas y presión para la obtención de resultados. </t>
  </si>
  <si>
    <t xml:space="preserve">Estrés, agotamiento mental; daños psicológicos asociados al estrés. </t>
  </si>
  <si>
    <t>• Aplicar la batería de riesgo psicosocial.                     
• Capacitación del riesgo.                                             
 • PVE riesgo psicosocial.</t>
  </si>
  <si>
    <t xml:space="preserve">• Movilizar estibas con producto terminado, se traslada de la bodega hacia el muelle de cargue.                                                                            • Movilizar la materia prima, al área de vacceo y pesa menor.                                                                    • Descargue de materia prima y arrume en las diferentes bodegas de acuerdo a la materia prima.    </t>
  </si>
  <si>
    <t>• Uso de EPP (protección auditiva).      
 • Capacitación sobre protección auditiva y autocuidado</t>
  </si>
  <si>
    <t>• Aplicar la batería de riesgo psicosocial.                    
 • Capacitación del riesgo.                                            
  • PVE riesgo psicosocial.</t>
  </si>
  <si>
    <t xml:space="preserve">• Realizar inspección preoperacional  del montacargas.                      • Mantenimiento del montacargas. </t>
  </si>
  <si>
    <t xml:space="preserve">• PVE osteomuscular.                                                 
 • EMOS periódicos. </t>
  </si>
  <si>
    <t>• Inspección  en las áreas de movilización del montacargas y  fomentando las buenas posturas.     
• Procedimiento sobre izaje de carga.</t>
  </si>
  <si>
    <t xml:space="preserve">Locativo por riesgo de caída del producto que se encuentra almacenada en las estibas, al momento de tomarla para movilizarla. </t>
  </si>
  <si>
    <t xml:space="preserve">• Orden y aseo constante de las áreas de almacenamiento.
• Señalización de áreas de trabajo con este riesgo.   
 • Inspecciones en las áreas de trabajo.                             
 • Certificado de operador.                                             
  • Certificado de mantenimiento del montacargas. 
     • Instructivo para limpieza de montacargas.        
 </t>
  </si>
  <si>
    <t xml:space="preserve">Generación de vapores inflamables por la batería y el combustible utilizado. </t>
  </si>
  <si>
    <t xml:space="preserve">Extintores, botiquín de primeros auxilios. </t>
  </si>
  <si>
    <t>• Capacitación de primeros auxilios.             
 • Socialización de las rutas de evacuación.</t>
  </si>
  <si>
    <t xml:space="preserve">• Realizar inspecciones preoperacionales del montacargas.                                                              
• Realizar simulacros de emergencias.                                  • Realizar capacitación de prevención y control de incendio. </t>
  </si>
  <si>
    <t>Interacción con trabajadores al momento de realizar el desplazamiento de las estibas con el producto.</t>
  </si>
  <si>
    <t>Señalización de áreas de transito y demarcación de senderos peatonales.</t>
  </si>
  <si>
    <t xml:space="preserve">Recaudar el dinero de cargue y descargue, enviar información cada hora de la actividad de cargue y descargue. </t>
  </si>
  <si>
    <t>Virus expuestos en el ambiente y posibles contagios de enfermades como Covid-19.</t>
  </si>
  <si>
    <t xml:space="preserve">Uso de EPP                           (Tapabocas).               Esquema de vacunación.                           Charlas sobre prevención del Covid-19.             </t>
  </si>
  <si>
    <t xml:space="preserve">• Sensibilización sobre la prevención del Covid-19.                • Suministro de jabón, alcohol y toallas desechables.   • Divulgar los protocolos de bioseguridad. </t>
  </si>
  <si>
    <t xml:space="preserve">• EMOS periódicos.                                                         • Charla sobre la prevención del riesgo. </t>
  </si>
  <si>
    <t>• Uso de EPP (protección auditiva).       • Capacitación sobre protección auditiva y autocuidado</t>
  </si>
  <si>
    <t>• Aplicar la batería de riesgo psicosocial.                     • Capacitación del riesgo.                                              • PVE riesgo psicosocial.</t>
  </si>
  <si>
    <t xml:space="preserve">• Aseo constante de las áreas de trabajo.
• Señalización de áreas de trabajo con este riesgo (caída y/o resbaloso) .                                                • Programa de orden y aseo  (personal constante realizando labores de aseo).
 </t>
  </si>
  <si>
    <t xml:space="preserve">Cámaras de seguridad </t>
  </si>
  <si>
    <t xml:space="preserve">Socialización del riesgo </t>
  </si>
  <si>
    <t xml:space="preserve">Coordinar operaciones logísticas de cargue y descargue de materia prima y producto terminado.                                                                                           </t>
  </si>
  <si>
    <t xml:space="preserve">Coordinar operaciones logísticas de cargue y descargue del producto                                                    </t>
  </si>
  <si>
    <t xml:space="preserve">• EMOS periódicos.                                                         
• Charla sobre la prevención del riesgo. </t>
  </si>
  <si>
    <t>• Uso de EPP (protección auditiva).       
• Capacitación sobre protección auditiva y autocuidado</t>
  </si>
  <si>
    <t>Baterías de resigo Psicosocial.</t>
  </si>
  <si>
    <t>• Aplicar la batería de riesgo psicosocial.                    
 • Capacitación del riesgo.                                             
 • PVE riesgo psicosocial.</t>
  </si>
  <si>
    <t xml:space="preserve">• Orden y aseo constante de las áreas de almacenamiento.
• Señalización de áreas de trabajo con este riesgo.   
• Inspecciones en las áreas de trabajo.                             
 • Certificado de operador.                                              
 • Certificado de mantenimiento del montacargas.           
 </t>
  </si>
  <si>
    <t>Interacción con vehículos pesados, camiones, tractocamiones y tractomulas, al momento de realizar las inspecciones y coordinaciones de las operaciones</t>
  </si>
  <si>
    <t>Rickettsias</t>
  </si>
  <si>
    <t>Jhon Steven Luna Mancera</t>
  </si>
  <si>
    <t>Coordinador integral</t>
  </si>
  <si>
    <t>suministro de tapabocas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</si>
</sst>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b/>
      <i/>
      <sz val="8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badi"/>
    </font>
    <font>
      <b/>
      <i/>
      <sz val="10"/>
      <color theme="1"/>
      <name val="Abadi"/>
    </font>
    <font>
      <b/>
      <sz val="10"/>
      <color theme="1"/>
      <name val="Abadi"/>
    </font>
    <font>
      <b/>
      <sz val="10"/>
      <color rgb="FF000000"/>
      <name val="Abadi"/>
    </font>
    <font>
      <sz val="10"/>
      <color rgb="FF000000"/>
      <name val="Abadi"/>
    </font>
    <font>
      <sz val="11"/>
      <color rgb="FF000000"/>
      <name val="Arial Narrow"/>
      <family val="2"/>
    </font>
    <font>
      <sz val="10"/>
      <name val="Arial Narrow"/>
      <family val="2"/>
    </font>
    <font>
      <b/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sz val="10"/>
      <color theme="1"/>
      <name val="Arial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C0C0C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  <fill>
      <patternFill patternType="solid">
        <fgColor rgb="FFDD0806"/>
        <bgColor rgb="FFDD0806"/>
      </patternFill>
    </fill>
    <fill>
      <patternFill patternType="solid">
        <fgColor rgb="FFFCF305"/>
        <bgColor rgb="FFFCF305"/>
      </patternFill>
    </fill>
    <fill>
      <patternFill patternType="solid">
        <fgColor rgb="FF006411"/>
        <bgColor rgb="FF006411"/>
      </patternFill>
    </fill>
    <fill>
      <patternFill patternType="solid">
        <fgColor rgb="FFC0C0C0"/>
        <bgColor rgb="FFC0C0C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DEABB"/>
        <bgColor rgb="FFFDEABB"/>
      </patternFill>
    </fill>
    <fill>
      <patternFill patternType="solid">
        <fgColor rgb="FFBFBFBF"/>
        <bgColor rgb="FFBFBFBF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FFC000"/>
        <bgColor rgb="FFFFC000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953734"/>
        <bgColor rgb="FF95373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2"/>
        <bgColor theme="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16" fontId="2" fillId="0" borderId="6" xfId="0" quotePrefix="1" applyNumberFormat="1" applyFont="1" applyBorder="1" applyAlignment="1">
      <alignment vertical="center" wrapText="1"/>
    </xf>
    <xf numFmtId="0" fontId="2" fillId="0" borderId="6" xfId="0" quotePrefix="1" applyFont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horizontal="righ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4" fillId="8" borderId="6" xfId="0" applyFont="1" applyFill="1" applyBorder="1"/>
    <xf numFmtId="0" fontId="4" fillId="8" borderId="6" xfId="0" applyFont="1" applyFill="1" applyBorder="1" applyAlignment="1">
      <alignment horizontal="center"/>
    </xf>
    <xf numFmtId="0" fontId="4" fillId="3" borderId="6" xfId="0" applyFont="1" applyFill="1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9" fillId="0" borderId="6" xfId="0" applyFont="1" applyBorder="1" applyAlignment="1">
      <alignment vertical="top"/>
    </xf>
    <xf numFmtId="0" fontId="10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1" fillId="0" borderId="6" xfId="0" applyFont="1" applyBorder="1"/>
    <xf numFmtId="0" fontId="1" fillId="0" borderId="0" xfId="0" applyFont="1" applyAlignment="1">
      <alignment horizontal="left"/>
    </xf>
    <xf numFmtId="0" fontId="14" fillId="2" borderId="1" xfId="0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0" borderId="0" xfId="0" applyFont="1"/>
    <xf numFmtId="16" fontId="14" fillId="0" borderId="6" xfId="0" quotePrefix="1" applyNumberFormat="1" applyFont="1" applyBorder="1" applyAlignment="1">
      <alignment vertical="center" wrapText="1"/>
    </xf>
    <xf numFmtId="0" fontId="14" fillId="0" borderId="6" xfId="0" quotePrefix="1" applyFont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horizontal="righ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7" borderId="6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left" vertical="center"/>
    </xf>
    <xf numFmtId="0" fontId="16" fillId="8" borderId="6" xfId="0" applyFont="1" applyFill="1" applyBorder="1"/>
    <xf numFmtId="0" fontId="16" fillId="8" borderId="6" xfId="0" applyFont="1" applyFill="1" applyBorder="1" applyAlignment="1">
      <alignment horizontal="center"/>
    </xf>
    <xf numFmtId="0" fontId="16" fillId="3" borderId="6" xfId="0" applyFont="1" applyFill="1" applyBorder="1"/>
    <xf numFmtId="0" fontId="17" fillId="18" borderId="6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18" borderId="6" xfId="0" applyFont="1" applyFill="1" applyBorder="1"/>
    <xf numFmtId="0" fontId="14" fillId="18" borderId="6" xfId="0" applyFont="1" applyFill="1" applyBorder="1" applyAlignment="1">
      <alignment wrapText="1"/>
    </xf>
    <xf numFmtId="0" fontId="14" fillId="0" borderId="6" xfId="0" applyFont="1" applyBorder="1"/>
    <xf numFmtId="0" fontId="14" fillId="18" borderId="6" xfId="0" applyFont="1" applyFill="1" applyBorder="1" applyAlignment="1">
      <alignment vertical="top"/>
    </xf>
    <xf numFmtId="0" fontId="14" fillId="18" borderId="6" xfId="0" applyFont="1" applyFill="1" applyBorder="1" applyAlignment="1">
      <alignment vertical="center" wrapText="1"/>
    </xf>
    <xf numFmtId="0" fontId="14" fillId="18" borderId="6" xfId="0" applyFont="1" applyFill="1" applyBorder="1" applyAlignment="1">
      <alignment vertical="center"/>
    </xf>
    <xf numFmtId="0" fontId="14" fillId="18" borderId="6" xfId="0" applyFont="1" applyFill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2" borderId="1" xfId="0" applyFont="1" applyFill="1" applyBorder="1" applyAlignment="1">
      <alignment vertical="top"/>
    </xf>
    <xf numFmtId="0" fontId="14" fillId="19" borderId="6" xfId="0" applyFont="1" applyFill="1" applyBorder="1"/>
    <xf numFmtId="0" fontId="14" fillId="19" borderId="6" xfId="0" applyFont="1" applyFill="1" applyBorder="1" applyAlignment="1">
      <alignment wrapText="1"/>
    </xf>
    <xf numFmtId="0" fontId="14" fillId="19" borderId="6" xfId="0" applyFont="1" applyFill="1" applyBorder="1" applyAlignment="1">
      <alignment vertical="center"/>
    </xf>
    <xf numFmtId="0" fontId="14" fillId="19" borderId="6" xfId="0" applyFont="1" applyFill="1" applyBorder="1" applyAlignment="1">
      <alignment vertical="top" wrapText="1"/>
    </xf>
    <xf numFmtId="0" fontId="14" fillId="19" borderId="6" xfId="0" applyFont="1" applyFill="1" applyBorder="1" applyAlignment="1">
      <alignment vertical="top"/>
    </xf>
    <xf numFmtId="0" fontId="14" fillId="0" borderId="6" xfId="0" applyFont="1" applyBorder="1" applyAlignment="1">
      <alignment vertical="top"/>
    </xf>
    <xf numFmtId="0" fontId="14" fillId="20" borderId="6" xfId="0" applyFont="1" applyFill="1" applyBorder="1"/>
    <xf numFmtId="0" fontId="14" fillId="20" borderId="6" xfId="0" applyFont="1" applyFill="1" applyBorder="1" applyAlignment="1">
      <alignment wrapText="1"/>
    </xf>
    <xf numFmtId="0" fontId="14" fillId="20" borderId="6" xfId="0" applyFont="1" applyFill="1" applyBorder="1" applyAlignment="1">
      <alignment vertical="center"/>
    </xf>
    <xf numFmtId="0" fontId="14" fillId="21" borderId="6" xfId="0" applyFont="1" applyFill="1" applyBorder="1" applyAlignment="1">
      <alignment vertical="center" wrapText="1"/>
    </xf>
    <xf numFmtId="0" fontId="14" fillId="21" borderId="6" xfId="0" applyFont="1" applyFill="1" applyBorder="1" applyAlignment="1">
      <alignment wrapText="1"/>
    </xf>
    <xf numFmtId="0" fontId="14" fillId="22" borderId="6" xfId="0" applyFont="1" applyFill="1" applyBorder="1" applyAlignment="1">
      <alignment vertical="top" wrapText="1"/>
    </xf>
    <xf numFmtId="0" fontId="14" fillId="22" borderId="6" xfId="0" applyFont="1" applyFill="1" applyBorder="1" applyAlignment="1">
      <alignment vertical="center" wrapText="1"/>
    </xf>
    <xf numFmtId="0" fontId="14" fillId="22" borderId="6" xfId="0" applyFont="1" applyFill="1" applyBorder="1" applyAlignment="1">
      <alignment wrapText="1"/>
    </xf>
    <xf numFmtId="0" fontId="14" fillId="23" borderId="6" xfId="0" applyFont="1" applyFill="1" applyBorder="1" applyAlignment="1">
      <alignment vertical="center" wrapText="1"/>
    </xf>
    <xf numFmtId="0" fontId="14" fillId="23" borderId="6" xfId="0" applyFont="1" applyFill="1" applyBorder="1" applyAlignment="1">
      <alignment wrapText="1"/>
    </xf>
    <xf numFmtId="0" fontId="14" fillId="23" borderId="37" xfId="0" applyFont="1" applyFill="1" applyBorder="1" applyAlignment="1">
      <alignment vertical="center" wrapText="1"/>
    </xf>
    <xf numFmtId="0" fontId="14" fillId="23" borderId="37" xfId="0" applyFont="1" applyFill="1" applyBorder="1" applyAlignment="1">
      <alignment vertical="center"/>
    </xf>
    <xf numFmtId="0" fontId="14" fillId="0" borderId="6" xfId="0" applyFont="1" applyBorder="1" applyAlignment="1">
      <alignment wrapText="1"/>
    </xf>
    <xf numFmtId="0" fontId="14" fillId="23" borderId="6" xfId="0" applyFont="1" applyFill="1" applyBorder="1" applyAlignment="1">
      <alignment vertical="center"/>
    </xf>
    <xf numFmtId="0" fontId="16" fillId="23" borderId="6" xfId="0" applyFont="1" applyFill="1" applyBorder="1" applyAlignment="1">
      <alignment wrapText="1"/>
    </xf>
    <xf numFmtId="0" fontId="14" fillId="24" borderId="6" xfId="0" applyFont="1" applyFill="1" applyBorder="1" applyAlignment="1">
      <alignment wrapText="1"/>
    </xf>
    <xf numFmtId="0" fontId="14" fillId="0" borderId="0" xfId="0" applyFont="1" applyAlignment="1">
      <alignment horizontal="left"/>
    </xf>
    <xf numFmtId="0" fontId="0" fillId="0" borderId="0" xfId="0"/>
    <xf numFmtId="0" fontId="21" fillId="0" borderId="28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1" fillId="0" borderId="27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21" fillId="0" borderId="18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0" fillId="0" borderId="35" xfId="0" applyFont="1" applyBorder="1"/>
    <xf numFmtId="0" fontId="22" fillId="0" borderId="27" xfId="0" applyFont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textRotation="90" wrapText="1"/>
    </xf>
    <xf numFmtId="0" fontId="19" fillId="12" borderId="35" xfId="0" applyFont="1" applyFill="1" applyBorder="1" applyAlignment="1">
      <alignment horizontal="left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21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7" fillId="6" borderId="1" xfId="0" applyFont="1" applyFill="1" applyBorder="1"/>
    <xf numFmtId="0" fontId="27" fillId="0" borderId="0" xfId="0" applyFont="1"/>
    <xf numFmtId="0" fontId="27" fillId="2" borderId="1" xfId="0" applyFont="1" applyFill="1" applyBorder="1"/>
    <xf numFmtId="14" fontId="22" fillId="0" borderId="35" xfId="0" applyNumberFormat="1" applyFont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textRotation="90" wrapText="1"/>
    </xf>
    <xf numFmtId="0" fontId="26" fillId="0" borderId="34" xfId="0" applyFont="1" applyBorder="1" applyAlignment="1">
      <alignment horizontal="center" vertical="center" wrapText="1"/>
    </xf>
    <xf numFmtId="0" fontId="23" fillId="15" borderId="14" xfId="0" applyFont="1" applyFill="1" applyBorder="1" applyAlignment="1">
      <alignment horizontal="left" vertical="center"/>
    </xf>
    <xf numFmtId="0" fontId="23" fillId="0" borderId="14" xfId="0" applyFont="1" applyBorder="1"/>
    <xf numFmtId="0" fontId="23" fillId="0" borderId="14" xfId="0" applyFont="1" applyBorder="1" applyAlignment="1">
      <alignment horizontal="left" vertical="center"/>
    </xf>
    <xf numFmtId="0" fontId="19" fillId="12" borderId="14" xfId="0" applyFont="1" applyFill="1" applyBorder="1" applyAlignment="1">
      <alignment horizontal="left" vertical="center" wrapText="1"/>
    </xf>
    <xf numFmtId="0" fontId="27" fillId="6" borderId="14" xfId="0" applyFont="1" applyFill="1" applyBorder="1"/>
    <xf numFmtId="0" fontId="27" fillId="0" borderId="14" xfId="0" applyFont="1" applyBorder="1"/>
    <xf numFmtId="0" fontId="27" fillId="2" borderId="14" xfId="0" applyFont="1" applyFill="1" applyBorder="1"/>
    <xf numFmtId="0" fontId="23" fillId="25" borderId="14" xfId="0" applyFont="1" applyFill="1" applyBorder="1" applyAlignment="1">
      <alignment horizontal="left" vertical="center"/>
    </xf>
    <xf numFmtId="0" fontId="25" fillId="26" borderId="14" xfId="0" applyFont="1" applyFill="1" applyBorder="1" applyAlignment="1">
      <alignment horizontal="left" vertical="center" wrapText="1"/>
    </xf>
    <xf numFmtId="0" fontId="19" fillId="26" borderId="14" xfId="0" applyFont="1" applyFill="1" applyBorder="1" applyAlignment="1">
      <alignment horizontal="left" vertical="center" wrapText="1"/>
    </xf>
    <xf numFmtId="0" fontId="23" fillId="25" borderId="14" xfId="0" applyFont="1" applyFill="1" applyBorder="1"/>
    <xf numFmtId="0" fontId="21" fillId="0" borderId="35" xfId="0" applyFont="1" applyBorder="1" applyAlignment="1">
      <alignment vertical="center" wrapText="1"/>
    </xf>
    <xf numFmtId="0" fontId="28" fillId="0" borderId="14" xfId="0" applyFont="1" applyBorder="1"/>
    <xf numFmtId="0" fontId="31" fillId="10" borderId="36" xfId="0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vertical="center" wrapText="1"/>
    </xf>
    <xf numFmtId="0" fontId="29" fillId="0" borderId="22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/>
    </xf>
    <xf numFmtId="9" fontId="29" fillId="0" borderId="6" xfId="0" applyNumberFormat="1" applyFont="1" applyBorder="1" applyAlignment="1">
      <alignment horizontal="center" vertical="center" wrapText="1"/>
    </xf>
    <xf numFmtId="9" fontId="29" fillId="0" borderId="23" xfId="0" applyNumberFormat="1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9" fontId="29" fillId="0" borderId="21" xfId="0" applyNumberFormat="1" applyFont="1" applyBorder="1" applyAlignment="1">
      <alignment horizontal="center" vertical="center" wrapText="1"/>
    </xf>
    <xf numFmtId="0" fontId="35" fillId="0" borderId="6" xfId="0" applyFont="1" applyBorder="1"/>
    <xf numFmtId="0" fontId="10" fillId="0" borderId="14" xfId="0" applyFont="1" applyBorder="1" applyAlignment="1">
      <alignment vertical="center"/>
    </xf>
    <xf numFmtId="0" fontId="1" fillId="2" borderId="14" xfId="0" applyFont="1" applyFill="1" applyBorder="1"/>
    <xf numFmtId="0" fontId="30" fillId="0" borderId="6" xfId="0" applyFont="1" applyBorder="1" applyAlignment="1">
      <alignment vertical="top" wrapText="1"/>
    </xf>
    <xf numFmtId="0" fontId="31" fillId="10" borderId="6" xfId="0" applyFont="1" applyFill="1" applyBorder="1" applyAlignment="1">
      <alignment horizontal="left" vertical="center" wrapText="1"/>
    </xf>
    <xf numFmtId="0" fontId="31" fillId="10" borderId="6" xfId="0" applyFont="1" applyFill="1" applyBorder="1" applyAlignment="1">
      <alignment horizontal="center" vertical="center"/>
    </xf>
    <xf numFmtId="0" fontId="32" fillId="10" borderId="6" xfId="0" applyFont="1" applyFill="1" applyBorder="1" applyAlignment="1">
      <alignment horizontal="center" vertical="center" wrapText="1"/>
    </xf>
    <xf numFmtId="0" fontId="27" fillId="26" borderId="14" xfId="0" applyFont="1" applyFill="1" applyBorder="1" applyAlignment="1">
      <alignment horizontal="center" vertical="center" wrapText="1"/>
    </xf>
    <xf numFmtId="0" fontId="23" fillId="26" borderId="14" xfId="0" applyFont="1" applyFill="1" applyBorder="1" applyAlignment="1">
      <alignment horizontal="center" vertical="center" wrapText="1"/>
    </xf>
    <xf numFmtId="0" fontId="23" fillId="12" borderId="14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7" fillId="0" borderId="34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34" fillId="15" borderId="6" xfId="0" applyFont="1" applyFill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25" borderId="14" xfId="0" applyFont="1" applyFill="1" applyBorder="1" applyAlignment="1">
      <alignment horizontal="center" vertical="center" wrapText="1"/>
    </xf>
    <xf numFmtId="0" fontId="23" fillId="25" borderId="14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9" fillId="15" borderId="36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34" fillId="15" borderId="37" xfId="0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9" fillId="15" borderId="37" xfId="0" applyFont="1" applyFill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1" fillId="10" borderId="37" xfId="0" applyFont="1" applyFill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34" fillId="27" borderId="6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4" fontId="29" fillId="0" borderId="47" xfId="0" applyNumberFormat="1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8" fillId="0" borderId="41" xfId="0" applyFont="1" applyBorder="1"/>
    <xf numFmtId="0" fontId="31" fillId="10" borderId="30" xfId="0" applyFont="1" applyFill="1" applyBorder="1" applyAlignment="1">
      <alignment horizontal="center" vertical="center" textRotation="90" wrapText="1"/>
    </xf>
    <xf numFmtId="0" fontId="28" fillId="0" borderId="23" xfId="0" applyFont="1" applyBorder="1"/>
    <xf numFmtId="14" fontId="29" fillId="0" borderId="41" xfId="0" applyNumberFormat="1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/>
    </xf>
    <xf numFmtId="0" fontId="31" fillId="10" borderId="30" xfId="0" applyFont="1" applyFill="1" applyBorder="1" applyAlignment="1">
      <alignment horizontal="left" vertical="center" textRotation="90" wrapText="1"/>
    </xf>
    <xf numFmtId="0" fontId="31" fillId="10" borderId="31" xfId="0" applyFont="1" applyFill="1" applyBorder="1" applyAlignment="1">
      <alignment horizontal="center" vertical="center" wrapText="1"/>
    </xf>
    <xf numFmtId="0" fontId="28" fillId="0" borderId="35" xfId="0" applyFont="1" applyBorder="1" applyAlignment="1"/>
    <xf numFmtId="0" fontId="28" fillId="0" borderId="40" xfId="0" applyFont="1" applyBorder="1" applyAlignment="1"/>
    <xf numFmtId="0" fontId="31" fillId="13" borderId="21" xfId="0" applyFont="1" applyFill="1" applyBorder="1" applyAlignment="1">
      <alignment horizontal="center" vertical="center" textRotation="90" wrapText="1"/>
    </xf>
    <xf numFmtId="0" fontId="28" fillId="0" borderId="22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33" fillId="0" borderId="21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/>
    </xf>
    <xf numFmtId="0" fontId="31" fillId="17" borderId="21" xfId="0" applyFont="1" applyFill="1" applyBorder="1" applyAlignment="1">
      <alignment horizontal="center" vertical="center" textRotation="90" wrapText="1"/>
    </xf>
    <xf numFmtId="0" fontId="31" fillId="9" borderId="21" xfId="0" applyFont="1" applyFill="1" applyBorder="1" applyAlignment="1">
      <alignment horizontal="center" vertical="center" textRotation="90" wrapText="1"/>
    </xf>
    <xf numFmtId="0" fontId="31" fillId="14" borderId="21" xfId="0" applyFont="1" applyFill="1" applyBorder="1" applyAlignment="1">
      <alignment horizontal="center" vertical="center" textRotation="90" wrapText="1"/>
    </xf>
    <xf numFmtId="0" fontId="28" fillId="0" borderId="30" xfId="0" applyFont="1" applyBorder="1" applyAlignment="1">
      <alignment horizontal="center"/>
    </xf>
    <xf numFmtId="0" fontId="31" fillId="16" borderId="21" xfId="0" applyFont="1" applyFill="1" applyBorder="1" applyAlignment="1">
      <alignment horizontal="center" vertical="center" textRotation="90" wrapText="1"/>
    </xf>
    <xf numFmtId="0" fontId="29" fillId="0" borderId="24" xfId="0" applyFont="1" applyBorder="1" applyAlignment="1">
      <alignment horizontal="center" vertical="center" wrapText="1"/>
    </xf>
    <xf numFmtId="0" fontId="28" fillId="0" borderId="28" xfId="0" applyFont="1" applyBorder="1"/>
    <xf numFmtId="0" fontId="28" fillId="0" borderId="29" xfId="0" applyFont="1" applyBorder="1"/>
    <xf numFmtId="0" fontId="28" fillId="0" borderId="14" xfId="0" applyFont="1" applyBorder="1"/>
    <xf numFmtId="14" fontId="22" fillId="0" borderId="24" xfId="0" applyNumberFormat="1" applyFont="1" applyBorder="1" applyAlignment="1">
      <alignment horizontal="center" vertical="center" wrapText="1"/>
    </xf>
    <xf numFmtId="0" fontId="20" fillId="0" borderId="31" xfId="0" applyFont="1" applyBorder="1"/>
    <xf numFmtId="0" fontId="22" fillId="0" borderId="21" xfId="0" applyFont="1" applyBorder="1" applyAlignment="1">
      <alignment horizontal="center" vertical="center" wrapText="1"/>
    </xf>
    <xf numFmtId="0" fontId="20" fillId="0" borderId="23" xfId="0" applyFont="1" applyBorder="1"/>
    <xf numFmtId="0" fontId="22" fillId="0" borderId="24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4" fillId="11" borderId="31" xfId="0" applyFont="1" applyFill="1" applyBorder="1" applyAlignment="1">
      <alignment horizontal="center" vertical="center" wrapText="1"/>
    </xf>
    <xf numFmtId="0" fontId="20" fillId="0" borderId="32" xfId="0" applyFont="1" applyBorder="1"/>
    <xf numFmtId="0" fontId="20" fillId="0" borderId="33" xfId="0" applyFont="1" applyBorder="1"/>
    <xf numFmtId="0" fontId="31" fillId="10" borderId="30" xfId="0" applyFont="1" applyFill="1" applyBorder="1" applyAlignment="1">
      <alignment horizontal="center" vertical="center" wrapText="1"/>
    </xf>
    <xf numFmtId="0" fontId="28" fillId="0" borderId="23" xfId="0" applyFont="1" applyBorder="1" applyAlignment="1"/>
    <xf numFmtId="0" fontId="29" fillId="0" borderId="2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3" fillId="2" borderId="11" xfId="0" applyFont="1" applyFill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4" fillId="3" borderId="14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5" fillId="0" borderId="19" xfId="0" applyFont="1" applyBorder="1"/>
    <xf numFmtId="0" fontId="5" fillId="0" borderId="20" xfId="0" applyFont="1" applyBorder="1"/>
    <xf numFmtId="0" fontId="4" fillId="3" borderId="16" xfId="0" applyFont="1" applyFill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2" fillId="0" borderId="2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6" fillId="2" borderId="11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5" borderId="21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5" fillId="0" borderId="27" xfId="0" applyFont="1" applyBorder="1"/>
    <xf numFmtId="0" fontId="2" fillId="7" borderId="21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  <xf numFmtId="0" fontId="11" fillId="0" borderId="16" xfId="0" applyFont="1" applyBorder="1" applyAlignment="1">
      <alignment horizontal="left"/>
    </xf>
    <xf numFmtId="0" fontId="11" fillId="0" borderId="16" xfId="0" applyFont="1" applyBorder="1" applyAlignment="1">
      <alignment horizontal="left" vertical="top"/>
    </xf>
    <xf numFmtId="0" fontId="11" fillId="0" borderId="0" xfId="0" applyFont="1" applyAlignment="1">
      <alignment horizontal="left"/>
    </xf>
    <xf numFmtId="0" fontId="13" fillId="0" borderId="16" xfId="0" applyFont="1" applyBorder="1" applyAlignment="1">
      <alignment horizontal="left"/>
    </xf>
    <xf numFmtId="0" fontId="12" fillId="9" borderId="16" xfId="0" applyFont="1" applyFill="1" applyBorder="1" applyAlignment="1">
      <alignment horizontal="center" vertical="center"/>
    </xf>
    <xf numFmtId="0" fontId="13" fillId="0" borderId="21" xfId="0" applyFont="1" applyBorder="1" applyAlignment="1">
      <alignment vertical="center" wrapText="1"/>
    </xf>
    <xf numFmtId="0" fontId="13" fillId="0" borderId="16" xfId="0" applyFont="1" applyBorder="1" applyAlignment="1">
      <alignment horizontal="left" vertical="top"/>
    </xf>
    <xf numFmtId="0" fontId="13" fillId="0" borderId="21" xfId="0" applyFont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3" borderId="14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4" fillId="5" borderId="21" xfId="0" applyFont="1" applyFill="1" applyBorder="1" applyAlignment="1">
      <alignment horizontal="left" vertical="center" wrapText="1"/>
    </xf>
    <xf numFmtId="0" fontId="14" fillId="6" borderId="2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5" fillId="0" borderId="27" xfId="0" applyFont="1" applyBorder="1" applyAlignment="1">
      <alignment horizontal="center"/>
    </xf>
    <xf numFmtId="0" fontId="14" fillId="7" borderId="2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4" fillId="21" borderId="21" xfId="0" applyFont="1" applyFill="1" applyBorder="1" applyAlignment="1">
      <alignment horizontal="left" vertical="center" wrapText="1"/>
    </xf>
    <xf numFmtId="0" fontId="14" fillId="22" borderId="21" xfId="0" applyFont="1" applyFill="1" applyBorder="1" applyAlignment="1">
      <alignment horizontal="left" vertical="center" wrapText="1"/>
    </xf>
    <xf numFmtId="0" fontId="14" fillId="23" borderId="21" xfId="0" applyFont="1" applyFill="1" applyBorder="1" applyAlignment="1">
      <alignment horizontal="left" vertical="top" wrapText="1"/>
    </xf>
    <xf numFmtId="0" fontId="14" fillId="24" borderId="21" xfId="0" applyFont="1" applyFill="1" applyBorder="1" applyAlignment="1">
      <alignment horizontal="left" vertical="center" wrapText="1"/>
    </xf>
    <xf numFmtId="0" fontId="16" fillId="18" borderId="38" xfId="0" applyFont="1" applyFill="1" applyBorder="1" applyAlignment="1">
      <alignment horizontal="center" vertical="center"/>
    </xf>
    <xf numFmtId="0" fontId="5" fillId="0" borderId="39" xfId="0" applyFont="1" applyBorder="1"/>
    <xf numFmtId="0" fontId="5" fillId="0" borderId="40" xfId="0" applyFont="1" applyBorder="1"/>
    <xf numFmtId="0" fontId="16" fillId="19" borderId="38" xfId="0" applyFont="1" applyFill="1" applyBorder="1" applyAlignment="1">
      <alignment horizontal="center" vertical="center"/>
    </xf>
    <xf numFmtId="0" fontId="14" fillId="19" borderId="21" xfId="0" applyFont="1" applyFill="1" applyBorder="1" applyAlignment="1">
      <alignment horizontal="left" vertical="center"/>
    </xf>
    <xf numFmtId="0" fontId="16" fillId="20" borderId="38" xfId="0" applyFont="1" applyFill="1" applyBorder="1" applyAlignment="1">
      <alignment horizontal="center" vertical="center"/>
    </xf>
    <xf numFmtId="0" fontId="14" fillId="20" borderId="21" xfId="0" applyFont="1" applyFill="1" applyBorder="1" applyAlignment="1">
      <alignment horizontal="left" vertical="center" wrapText="1"/>
    </xf>
    <xf numFmtId="0" fontId="16" fillId="21" borderId="38" xfId="0" applyFont="1" applyFill="1" applyBorder="1" applyAlignment="1">
      <alignment horizontal="center" vertical="center"/>
    </xf>
    <xf numFmtId="0" fontId="16" fillId="22" borderId="38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/>
    </xf>
    <xf numFmtId="0" fontId="16" fillId="23" borderId="38" xfId="0" applyFont="1" applyFill="1" applyBorder="1" applyAlignment="1">
      <alignment horizontal="center" vertical="center"/>
    </xf>
    <xf numFmtId="0" fontId="14" fillId="23" borderId="21" xfId="0" applyFont="1" applyFill="1" applyBorder="1" applyAlignment="1">
      <alignment horizontal="left" vertical="center" wrapText="1"/>
    </xf>
    <xf numFmtId="0" fontId="16" fillId="24" borderId="21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  <xf numFmtId="0" fontId="14" fillId="0" borderId="21" xfId="0" applyFont="1" applyBorder="1" applyAlignment="1">
      <alignment vertical="center" wrapText="1"/>
    </xf>
    <xf numFmtId="0" fontId="14" fillId="0" borderId="16" xfId="0" applyFont="1" applyBorder="1" applyAlignment="1">
      <alignment horizontal="left" vertical="top"/>
    </xf>
  </cellXfs>
  <cellStyles count="1">
    <cellStyle name="Normal" xfId="0" builtinId="0"/>
  </cellStyles>
  <dxfs count="49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56444</xdr:colOff>
      <xdr:row>0</xdr:row>
      <xdr:rowOff>112889</xdr:rowOff>
    </xdr:from>
    <xdr:to>
      <xdr:col>1</xdr:col>
      <xdr:colOff>2088444</xdr:colOff>
      <xdr:row>5</xdr:row>
      <xdr:rowOff>211667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BDB0E-0D5E-E07B-7B0B-69BB7DF1D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44" y="112889"/>
          <a:ext cx="2921000" cy="1792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0.9\arconsa$\45.%20CONSTRUCTORA%20ARRECIFES\MATRIZ%20DE%20RIESGO%20ABRIL%202018\Matriz%20de%20riesgos%20Vertice%20(DEISY)%20(23-10-1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terios "/>
      <sheetName val="Medidas de intervención"/>
      <sheetName val="INDICE"/>
      <sheetName val="Procesos"/>
      <sheetName val="Factores de riesgo"/>
      <sheetName val="Proceso constructivo"/>
      <sheetName val="Proceso administrativo"/>
      <sheetName val="Resumen Matriz"/>
      <sheetName val="Hoja1"/>
    </sheetNames>
    <sheetDataSet>
      <sheetData sheetId="0"/>
      <sheetData sheetId="1"/>
      <sheetData sheetId="2"/>
      <sheetData sheetId="3"/>
      <sheetData sheetId="4">
        <row r="4">
          <cell r="B4" t="str">
            <v>------ (BIOLÓGICOS)</v>
          </cell>
        </row>
        <row r="5">
          <cell r="B5" t="str">
            <v>Virus</v>
          </cell>
        </row>
        <row r="6">
          <cell r="B6" t="str">
            <v>Bacterias</v>
          </cell>
        </row>
        <row r="7">
          <cell r="B7" t="str">
            <v>Hongos</v>
          </cell>
        </row>
        <row r="8">
          <cell r="B8" t="str">
            <v>Ricketsias</v>
          </cell>
        </row>
        <row r="9">
          <cell r="B9" t="str">
            <v>Parásitos</v>
          </cell>
        </row>
        <row r="10">
          <cell r="B10" t="str">
            <v>Picaduras</v>
          </cell>
        </row>
        <row r="11">
          <cell r="B11" t="str">
            <v>Mordeduras</v>
          </cell>
        </row>
        <row r="12">
          <cell r="B12" t="str">
            <v>Fluidos o excrementos</v>
          </cell>
        </row>
        <row r="13">
          <cell r="B13" t="str">
            <v>------ (FÍSICO)</v>
          </cell>
        </row>
        <row r="14">
          <cell r="B14" t="str">
            <v xml:space="preserve">Ruido </v>
          </cell>
        </row>
        <row r="15">
          <cell r="B15" t="str">
            <v>Iluminación deficiente o en exceso</v>
          </cell>
        </row>
        <row r="16">
          <cell r="B16" t="str">
            <v>Vibración</v>
          </cell>
        </row>
        <row r="17">
          <cell r="B17" t="str">
            <v xml:space="preserve">Temperaturas extremas </v>
          </cell>
        </row>
        <row r="18">
          <cell r="B18" t="str">
            <v>Presiones anormales</v>
          </cell>
        </row>
        <row r="19">
          <cell r="B19" t="str">
            <v xml:space="preserve">Radiaciones ionizantes </v>
          </cell>
        </row>
        <row r="20">
          <cell r="B20" t="str">
            <v xml:space="preserve">Radiaciones no ionizantes </v>
          </cell>
        </row>
        <row r="21">
          <cell r="B21" t="str">
            <v>Humedad</v>
          </cell>
        </row>
        <row r="22">
          <cell r="B22" t="str">
            <v>------ (QUÍMICO)</v>
          </cell>
        </row>
        <row r="23">
          <cell r="B23" t="str">
            <v>Polvos orgánicos inorgánicos</v>
          </cell>
        </row>
        <row r="24">
          <cell r="B24" t="str">
            <v>Fibras</v>
          </cell>
        </row>
        <row r="25">
          <cell r="B25" t="str">
            <v>Líquidos (nieblas y rocíos)</v>
          </cell>
        </row>
        <row r="26">
          <cell r="B26" t="str">
            <v>Gases y vapores</v>
          </cell>
        </row>
        <row r="27">
          <cell r="B27" t="str">
            <v>Humos metálicos, no metálicos</v>
          </cell>
        </row>
        <row r="28">
          <cell r="B28" t="str">
            <v>Material particulado</v>
          </cell>
        </row>
        <row r="29">
          <cell r="B29" t="str">
            <v>------ (PSICOSOCIAL)</v>
          </cell>
        </row>
        <row r="30">
          <cell r="B30" t="str">
            <v>Gestión organizacional (estilo de mando,
pago, contratación, participación, inducción y capacitación, bienestar social, evaluación del desempeño, manejo de cambios).</v>
          </cell>
        </row>
        <row r="31">
          <cell r="B31" t="str">
            <v>Características de la organización del
trabajo (comunicación, tecnología,
organización del trabajo, demandas
cualitativas y cuantitativas de la labor).</v>
          </cell>
        </row>
        <row r="32">
          <cell r="B32" t="str">
            <v>Características del grupo social de
trabajo (relaciones, cohesión, calidad de
interacciones, trabajo en equipo).</v>
          </cell>
        </row>
        <row r="33">
          <cell r="B33" t="str">
            <v>Condiciones de la tarea (carga mental,
contenido de la tarea, demandas
emocionales, sistemas de control,
definición de roles, monotonía, etc.).</v>
          </cell>
        </row>
        <row r="34">
          <cell r="B34" t="str">
            <v>Interfase persona - tarea (conocimientos,
habilidades en relación con la demanda
de la tarea, iniciativa, autonomía y
reconocimiento, identificación de la
persona con la tarea y la organización).</v>
          </cell>
        </row>
        <row r="35">
          <cell r="B35" t="str">
            <v>Jornada de trabajo (pausas, trabajo
nocturno, rotación, horas extras,
descansos)</v>
          </cell>
        </row>
        <row r="37">
          <cell r="B37" t="str">
            <v>------ (BIOMECÁNICOS)</v>
          </cell>
        </row>
        <row r="38">
          <cell r="B38" t="str">
            <v>Postura (prolongada mantenida, forzada,
antigravitacional)</v>
          </cell>
        </row>
        <row r="39">
          <cell r="B39" t="str">
            <v>Esfuerzo</v>
          </cell>
        </row>
        <row r="40">
          <cell r="B40" t="str">
            <v>Movimiento repetitivo</v>
          </cell>
        </row>
        <row r="41">
          <cell r="B41" t="str">
            <v>Manipulación manual de cargas</v>
          </cell>
        </row>
        <row r="42">
          <cell r="B42" t="str">
            <v>------ (CONDICIONES DE SEGURIDAD)</v>
          </cell>
        </row>
        <row r="43">
          <cell r="B43" t="str">
            <v>Mecánico (elementos o partes de
máquinas, herramientas, equipos,
piezas a trabajar, materiales
proyectados sólidos o fluidos)</v>
          </cell>
        </row>
        <row r="44">
          <cell r="B44" t="str">
            <v>Eléctrico (alta y baja tensión,
estática)</v>
          </cell>
        </row>
        <row r="45">
          <cell r="B45" t="str">
            <v>Locativo (sistemas y medios de
almacenamiento), superficies de
trabajo (irregulares, deslizantes,
con diferencia del nivel),
condiciones de orden y aseo,
(caídas de objeto)</v>
          </cell>
        </row>
        <row r="46">
          <cell r="B46" t="str">
            <v>Tecnológico (explosión, fuga,
derrame, incendio)</v>
          </cell>
        </row>
        <row r="47">
          <cell r="B47" t="str">
            <v>Accidentes de tránsito</v>
          </cell>
        </row>
        <row r="48">
          <cell r="B48" t="str">
            <v>Públicos (robos, atracos, asaltos, atentados, de orden público, etc.)</v>
          </cell>
        </row>
        <row r="49">
          <cell r="B49" t="str">
            <v>Trabajo en alturas</v>
          </cell>
        </row>
        <row r="50">
          <cell r="B50" t="str">
            <v>Espacios confinados</v>
          </cell>
        </row>
        <row r="51">
          <cell r="B51" t="str">
            <v>------ (FENÓMENOS NATURALES)</v>
          </cell>
        </row>
        <row r="52">
          <cell r="B52" t="str">
            <v>Derrumbes.</v>
          </cell>
        </row>
        <row r="53">
          <cell r="B53" t="str">
            <v xml:space="preserve">Vendaval. </v>
          </cell>
        </row>
        <row r="54">
          <cell r="B54" t="str">
            <v>Inundación.</v>
          </cell>
        </row>
        <row r="55">
          <cell r="B55" t="str">
            <v>Precipitaciones, (lluvias, granizadas, heladas).</v>
          </cell>
        </row>
        <row r="56">
          <cell r="B56" t="str">
            <v>Sismo</v>
          </cell>
        </row>
        <row r="57">
          <cell r="B57" t="str">
            <v>Terremoto</v>
          </cell>
        </row>
        <row r="58">
          <cell r="B58" t="str">
            <v>------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319"/>
  <sheetViews>
    <sheetView showGridLines="0" tabSelected="1" zoomScale="76" zoomScaleNormal="76" workbookViewId="0">
      <selection activeCell="J17" sqref="J17"/>
    </sheetView>
  </sheetViews>
  <sheetFormatPr baseColWidth="10" defaultColWidth="12.5546875" defaultRowHeight="15" customHeight="1" x14ac:dyDescent="0.3"/>
  <cols>
    <col min="1" max="1" width="12.77734375" style="135" customWidth="1"/>
    <col min="2" max="2" width="33.5546875" style="135" customWidth="1"/>
    <col min="3" max="3" width="37.44140625" style="135" customWidth="1"/>
    <col min="4" max="4" width="7.44140625" style="135" customWidth="1"/>
    <col min="5" max="5" width="12.6640625" style="135" customWidth="1"/>
    <col min="6" max="6" width="17" style="135" customWidth="1"/>
    <col min="7" max="7" width="16.33203125" style="135" customWidth="1"/>
    <col min="8" max="8" width="8" style="135" customWidth="1"/>
    <col min="9" max="9" width="23.5546875" style="135" customWidth="1"/>
    <col min="10" max="10" width="55.77734375" style="135" customWidth="1"/>
    <col min="11" max="11" width="40.33203125" style="135" customWidth="1"/>
    <col min="12" max="12" width="51.5546875" style="135" customWidth="1"/>
    <col min="13" max="13" width="20.21875" style="135" customWidth="1"/>
    <col min="14" max="14" width="31.109375" style="135" customWidth="1"/>
    <col min="15" max="15" width="43.88671875" style="135" customWidth="1"/>
    <col min="16" max="16" width="16.77734375" style="135" customWidth="1"/>
    <col min="17" max="17" width="15.77734375" style="135" customWidth="1"/>
    <col min="18" max="18" width="17.77734375" style="135" customWidth="1"/>
    <col min="19" max="20" width="11.44140625" style="135" customWidth="1"/>
    <col min="21" max="21" width="17" style="135" customWidth="1"/>
    <col min="22" max="22" width="21.33203125" style="135" customWidth="1"/>
    <col min="23" max="23" width="18.77734375" style="135" customWidth="1"/>
    <col min="24" max="24" width="16" style="135" customWidth="1"/>
    <col min="25" max="25" width="24.21875" style="135" customWidth="1"/>
    <col min="26" max="26" width="21.5546875" style="135" customWidth="1"/>
    <col min="27" max="27" width="15" style="135" customWidth="1"/>
    <col min="28" max="28" width="18.21875" style="135" customWidth="1"/>
    <col min="29" max="29" width="17.77734375" style="135" customWidth="1"/>
    <col min="30" max="30" width="45.44140625" style="135" customWidth="1"/>
    <col min="31" max="31" width="21.77734375" style="135" customWidth="1"/>
    <col min="32" max="36" width="22.77734375" style="135" hidden="1" customWidth="1"/>
    <col min="37" max="37" width="22.77734375" style="168" hidden="1" customWidth="1"/>
    <col min="38" max="73" width="11.44140625" style="177" customWidth="1"/>
    <col min="74" max="74" width="11.44140625" style="168" customWidth="1"/>
    <col min="75" max="103" width="11.44140625" style="135" customWidth="1"/>
    <col min="104" max="16384" width="12.5546875" style="135"/>
  </cols>
  <sheetData>
    <row r="1" spans="1:103" ht="32.25" customHeight="1" x14ac:dyDescent="0.3">
      <c r="A1" s="282"/>
      <c r="B1" s="283"/>
      <c r="C1" s="291" t="s">
        <v>335</v>
      </c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2"/>
      <c r="AB1" s="292"/>
      <c r="AC1" s="292"/>
      <c r="AD1" s="292"/>
      <c r="AE1" s="293"/>
      <c r="AF1" s="132"/>
      <c r="AG1" s="132"/>
      <c r="AH1" s="132"/>
      <c r="AI1" s="133"/>
      <c r="AJ1" s="288" t="s">
        <v>336</v>
      </c>
      <c r="AK1" s="290" t="s">
        <v>337</v>
      </c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69"/>
      <c r="BW1" s="134"/>
      <c r="BX1" s="134"/>
      <c r="BY1" s="134"/>
      <c r="BZ1" s="134"/>
      <c r="CA1" s="134"/>
      <c r="CB1" s="134"/>
      <c r="CC1" s="134"/>
      <c r="CD1" s="134"/>
      <c r="CE1" s="134"/>
      <c r="CF1" s="134"/>
      <c r="CG1" s="134"/>
      <c r="CH1" s="134"/>
      <c r="CI1" s="134"/>
      <c r="CJ1" s="134"/>
      <c r="CK1" s="134"/>
      <c r="CL1" s="134"/>
      <c r="CM1" s="134"/>
      <c r="CN1" s="134"/>
      <c r="CO1" s="134"/>
      <c r="CP1" s="134"/>
      <c r="CQ1" s="134"/>
      <c r="CR1" s="134"/>
      <c r="CS1" s="134"/>
      <c r="CT1" s="134"/>
      <c r="CU1" s="134"/>
      <c r="CV1" s="134"/>
      <c r="CW1" s="134"/>
      <c r="CX1" s="134"/>
      <c r="CY1" s="134"/>
    </row>
    <row r="2" spans="1:103" ht="15.45" customHeight="1" x14ac:dyDescent="0.3">
      <c r="A2" s="284"/>
      <c r="B2" s="285"/>
      <c r="C2" s="294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6"/>
      <c r="AF2" s="136"/>
      <c r="AG2" s="136"/>
      <c r="AH2" s="136"/>
      <c r="AI2" s="137"/>
      <c r="AJ2" s="289"/>
      <c r="AK2" s="287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69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</row>
    <row r="3" spans="1:103" ht="32.25" customHeight="1" x14ac:dyDescent="0.3">
      <c r="A3" s="284"/>
      <c r="B3" s="285"/>
      <c r="C3" s="291" t="s">
        <v>338</v>
      </c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3"/>
      <c r="AF3" s="138"/>
      <c r="AG3" s="139"/>
      <c r="AH3" s="139"/>
      <c r="AI3" s="139"/>
      <c r="AJ3" s="288" t="s">
        <v>339</v>
      </c>
      <c r="AK3" s="286" t="s">
        <v>340</v>
      </c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/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69"/>
      <c r="BW3" s="134"/>
      <c r="BX3" s="134"/>
      <c r="BY3" s="134"/>
      <c r="BZ3" s="134"/>
      <c r="CA3" s="134"/>
      <c r="CB3" s="134"/>
      <c r="CC3" s="134"/>
      <c r="CD3" s="134"/>
      <c r="CE3" s="134"/>
      <c r="CF3" s="134"/>
      <c r="CG3" s="134"/>
      <c r="CH3" s="134"/>
      <c r="CI3" s="134"/>
      <c r="CJ3" s="134"/>
      <c r="CK3" s="134"/>
      <c r="CL3" s="134"/>
      <c r="CM3" s="134"/>
      <c r="CN3" s="134"/>
      <c r="CO3" s="134"/>
      <c r="CP3" s="134"/>
      <c r="CQ3" s="134"/>
      <c r="CR3" s="134"/>
      <c r="CS3" s="134"/>
      <c r="CT3" s="134"/>
      <c r="CU3" s="134"/>
      <c r="CV3" s="134"/>
      <c r="CW3" s="134"/>
      <c r="CX3" s="134"/>
      <c r="CY3" s="134"/>
    </row>
    <row r="4" spans="1:103" ht="21" customHeight="1" x14ac:dyDescent="0.3">
      <c r="A4" s="284"/>
      <c r="B4" s="285"/>
      <c r="C4" s="294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6"/>
      <c r="AF4" s="138"/>
      <c r="AG4" s="139"/>
      <c r="AH4" s="139"/>
      <c r="AI4" s="139"/>
      <c r="AJ4" s="289"/>
      <c r="AK4" s="287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4"/>
      <c r="BL4" s="174"/>
      <c r="BM4" s="174"/>
      <c r="BN4" s="174"/>
      <c r="BO4" s="174"/>
      <c r="BP4" s="174"/>
      <c r="BQ4" s="174"/>
      <c r="BR4" s="174"/>
      <c r="BS4" s="174"/>
      <c r="BT4" s="174"/>
      <c r="BU4" s="174"/>
      <c r="BV4" s="169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4"/>
      <c r="CR4" s="134"/>
      <c r="CS4" s="134"/>
      <c r="CT4" s="134"/>
      <c r="CU4" s="134"/>
      <c r="CV4" s="134"/>
      <c r="CW4" s="134"/>
      <c r="CX4" s="134"/>
      <c r="CY4" s="134"/>
    </row>
    <row r="5" spans="1:103" ht="32.25" customHeight="1" x14ac:dyDescent="0.3">
      <c r="A5" s="179"/>
      <c r="B5" s="179"/>
      <c r="C5" s="257" t="s">
        <v>530</v>
      </c>
      <c r="D5" s="258"/>
      <c r="E5" s="258"/>
      <c r="F5" s="258"/>
      <c r="G5" s="258"/>
      <c r="H5" s="258"/>
      <c r="I5" s="258"/>
      <c r="J5" s="259"/>
      <c r="K5" s="257" t="s">
        <v>531</v>
      </c>
      <c r="L5" s="258"/>
      <c r="M5" s="258"/>
      <c r="N5" s="258"/>
      <c r="O5" s="258"/>
      <c r="P5" s="258"/>
      <c r="Q5" s="258"/>
      <c r="R5" s="259"/>
      <c r="S5" s="260" t="s">
        <v>532</v>
      </c>
      <c r="T5" s="260"/>
      <c r="U5" s="260"/>
      <c r="V5" s="260"/>
      <c r="W5" s="260"/>
      <c r="X5" s="260"/>
      <c r="Y5" s="260"/>
      <c r="Z5" s="257" t="s">
        <v>533</v>
      </c>
      <c r="AA5" s="258"/>
      <c r="AB5" s="258"/>
      <c r="AC5" s="258"/>
      <c r="AD5" s="258"/>
      <c r="AE5" s="259"/>
      <c r="AF5" s="178"/>
      <c r="AG5" s="178"/>
      <c r="AH5" s="178"/>
      <c r="AI5" s="178"/>
      <c r="AJ5" s="140"/>
      <c r="AK5" s="140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69"/>
      <c r="BW5" s="134"/>
      <c r="BX5" s="134"/>
      <c r="BY5" s="134"/>
      <c r="BZ5" s="134"/>
      <c r="CA5" s="134"/>
      <c r="CB5" s="134"/>
      <c r="CC5" s="134"/>
      <c r="CD5" s="134"/>
      <c r="CE5" s="134"/>
      <c r="CF5" s="134"/>
      <c r="CG5" s="134"/>
      <c r="CH5" s="134"/>
      <c r="CI5" s="134"/>
      <c r="CJ5" s="134"/>
      <c r="CK5" s="134"/>
      <c r="CL5" s="134"/>
      <c r="CM5" s="134"/>
      <c r="CN5" s="134"/>
      <c r="CO5" s="134"/>
      <c r="CP5" s="134"/>
      <c r="CQ5" s="134"/>
      <c r="CR5" s="134"/>
      <c r="CS5" s="134"/>
      <c r="CT5" s="134"/>
      <c r="CU5" s="134"/>
      <c r="CV5" s="134"/>
      <c r="CW5" s="134"/>
      <c r="CX5" s="134"/>
      <c r="CY5" s="134"/>
    </row>
    <row r="6" spans="1:103" ht="32.25" customHeight="1" x14ac:dyDescent="0.3">
      <c r="A6" s="179"/>
      <c r="B6" s="179"/>
      <c r="C6" s="261" t="s">
        <v>534</v>
      </c>
      <c r="D6" s="261"/>
      <c r="E6" s="261"/>
      <c r="F6" s="261"/>
      <c r="G6" s="261"/>
      <c r="H6" s="261"/>
      <c r="I6" s="261"/>
      <c r="J6" s="261"/>
      <c r="K6" s="261">
        <v>1</v>
      </c>
      <c r="L6" s="261"/>
      <c r="M6" s="261"/>
      <c r="N6" s="261"/>
      <c r="O6" s="261"/>
      <c r="P6" s="261"/>
      <c r="Q6" s="261"/>
      <c r="R6" s="261"/>
      <c r="S6" s="256">
        <v>45621</v>
      </c>
      <c r="T6" s="254"/>
      <c r="U6" s="254"/>
      <c r="V6" s="254"/>
      <c r="W6" s="254"/>
      <c r="X6" s="254"/>
      <c r="Y6" s="255"/>
      <c r="Z6" s="253" t="s">
        <v>535</v>
      </c>
      <c r="AA6" s="254"/>
      <c r="AB6" s="254"/>
      <c r="AC6" s="254"/>
      <c r="AD6" s="254"/>
      <c r="AE6" s="255"/>
      <c r="AF6" s="178"/>
      <c r="AG6" s="178"/>
      <c r="AH6" s="178"/>
      <c r="AI6" s="178"/>
      <c r="AJ6" s="140"/>
      <c r="AK6" s="140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  <c r="BK6" s="174"/>
      <c r="BL6" s="174"/>
      <c r="BM6" s="174"/>
      <c r="BN6" s="174"/>
      <c r="BO6" s="174"/>
      <c r="BP6" s="174"/>
      <c r="BQ6" s="174"/>
      <c r="BR6" s="174"/>
      <c r="BS6" s="174"/>
      <c r="BT6" s="174"/>
      <c r="BU6" s="174"/>
      <c r="BV6" s="169"/>
      <c r="BW6" s="134"/>
      <c r="BX6" s="134"/>
      <c r="BY6" s="134"/>
      <c r="BZ6" s="134"/>
      <c r="CA6" s="134"/>
      <c r="CB6" s="134"/>
      <c r="CC6" s="134"/>
      <c r="CD6" s="134"/>
      <c r="CE6" s="134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4"/>
      <c r="CW6" s="134"/>
      <c r="CX6" s="134"/>
      <c r="CY6" s="134"/>
    </row>
    <row r="7" spans="1:103" ht="13.05" customHeight="1" x14ac:dyDescent="0.3">
      <c r="A7" s="266"/>
      <c r="B7" s="266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178"/>
      <c r="AG7" s="178"/>
      <c r="AH7" s="178"/>
      <c r="AI7" s="178"/>
      <c r="AJ7" s="140"/>
      <c r="AK7" s="140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74"/>
      <c r="BP7" s="174"/>
      <c r="BQ7" s="174"/>
      <c r="BR7" s="174"/>
      <c r="BS7" s="174"/>
      <c r="BT7" s="174"/>
      <c r="BU7" s="174"/>
      <c r="BV7" s="169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4"/>
      <c r="CH7" s="134"/>
      <c r="CI7" s="134"/>
      <c r="CJ7" s="134"/>
      <c r="CK7" s="134"/>
      <c r="CL7" s="134"/>
      <c r="CM7" s="134"/>
      <c r="CN7" s="134"/>
      <c r="CO7" s="134"/>
      <c r="CP7" s="134"/>
      <c r="CQ7" s="134"/>
      <c r="CR7" s="134"/>
      <c r="CS7" s="134"/>
      <c r="CT7" s="134"/>
      <c r="CU7" s="134"/>
      <c r="CV7" s="134"/>
      <c r="CW7" s="134"/>
      <c r="CX7" s="134"/>
      <c r="CY7" s="134"/>
    </row>
    <row r="8" spans="1:103" ht="30" customHeight="1" x14ac:dyDescent="0.3">
      <c r="A8" s="261" t="s">
        <v>554</v>
      </c>
      <c r="B8" s="262"/>
      <c r="C8" s="265">
        <v>46145</v>
      </c>
      <c r="D8" s="262"/>
      <c r="E8" s="262"/>
      <c r="F8" s="262"/>
      <c r="G8" s="262"/>
      <c r="H8" s="262"/>
      <c r="I8" s="262"/>
      <c r="J8" s="303" t="s">
        <v>555</v>
      </c>
      <c r="K8" s="262"/>
      <c r="L8" s="262"/>
      <c r="M8" s="303" t="s">
        <v>659</v>
      </c>
      <c r="N8" s="262"/>
      <c r="O8" s="262"/>
      <c r="P8" s="262"/>
      <c r="Q8" s="262"/>
      <c r="R8" s="262"/>
      <c r="S8" s="262"/>
      <c r="T8" s="262"/>
      <c r="U8" s="262"/>
      <c r="V8" s="262"/>
      <c r="W8" s="261" t="s">
        <v>556</v>
      </c>
      <c r="X8" s="262"/>
      <c r="Y8" s="262"/>
      <c r="Z8" s="261" t="s">
        <v>660</v>
      </c>
      <c r="AA8" s="262"/>
      <c r="AB8" s="262"/>
      <c r="AC8" s="262"/>
      <c r="AD8" s="262"/>
      <c r="AE8" s="262"/>
      <c r="AF8" s="136"/>
      <c r="AG8" s="136"/>
      <c r="AH8" s="136"/>
      <c r="AI8" s="136"/>
      <c r="AJ8" s="141"/>
      <c r="AK8" s="16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74"/>
      <c r="BP8" s="174"/>
      <c r="BQ8" s="174"/>
      <c r="BR8" s="174"/>
      <c r="BS8" s="174"/>
      <c r="BT8" s="174"/>
      <c r="BU8" s="174"/>
      <c r="BV8" s="169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</row>
    <row r="9" spans="1:103" ht="30" customHeight="1" x14ac:dyDescent="0.3">
      <c r="A9" s="263" t="s">
        <v>341</v>
      </c>
      <c r="B9" s="263" t="s">
        <v>342</v>
      </c>
      <c r="C9" s="263" t="s">
        <v>343</v>
      </c>
      <c r="D9" s="267" t="s">
        <v>344</v>
      </c>
      <c r="E9" s="268" t="s">
        <v>345</v>
      </c>
      <c r="F9" s="269"/>
      <c r="G9" s="269"/>
      <c r="H9" s="270"/>
      <c r="I9" s="268" t="s">
        <v>346</v>
      </c>
      <c r="J9" s="269"/>
      <c r="K9" s="270"/>
      <c r="L9" s="300" t="s">
        <v>347</v>
      </c>
      <c r="M9" s="268" t="s">
        <v>348</v>
      </c>
      <c r="N9" s="269"/>
      <c r="O9" s="270"/>
      <c r="P9" s="268" t="s">
        <v>349</v>
      </c>
      <c r="Q9" s="269"/>
      <c r="R9" s="270"/>
      <c r="S9" s="268" t="s">
        <v>350</v>
      </c>
      <c r="T9" s="269"/>
      <c r="U9" s="269"/>
      <c r="V9" s="269"/>
      <c r="W9" s="269"/>
      <c r="X9" s="269"/>
      <c r="Y9" s="270"/>
      <c r="Z9" s="180" t="s">
        <v>351</v>
      </c>
      <c r="AA9" s="268" t="s">
        <v>352</v>
      </c>
      <c r="AB9" s="269"/>
      <c r="AC9" s="269"/>
      <c r="AD9" s="269"/>
      <c r="AE9" s="270"/>
      <c r="AF9" s="297" t="s">
        <v>353</v>
      </c>
      <c r="AG9" s="298"/>
      <c r="AH9" s="298"/>
      <c r="AI9" s="298"/>
      <c r="AJ9" s="298"/>
      <c r="AK9" s="299"/>
      <c r="AL9" s="175"/>
      <c r="AM9" s="175"/>
      <c r="AN9" s="175"/>
      <c r="AO9" s="175"/>
      <c r="AP9" s="175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6"/>
      <c r="BN9" s="176"/>
      <c r="BO9" s="176"/>
      <c r="BP9" s="176"/>
      <c r="BQ9" s="176"/>
      <c r="BR9" s="176"/>
      <c r="BS9" s="176"/>
      <c r="BT9" s="176"/>
      <c r="BU9" s="176"/>
      <c r="BV9" s="170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</row>
    <row r="10" spans="1:103" ht="111.75" customHeight="1" x14ac:dyDescent="0.3">
      <c r="A10" s="264"/>
      <c r="B10" s="264"/>
      <c r="C10" s="264"/>
      <c r="D10" s="264"/>
      <c r="E10" s="198" t="s">
        <v>354</v>
      </c>
      <c r="F10" s="198" t="s">
        <v>355</v>
      </c>
      <c r="G10" s="198" t="s">
        <v>356</v>
      </c>
      <c r="H10" s="198" t="s">
        <v>357</v>
      </c>
      <c r="I10" s="181" t="s">
        <v>358</v>
      </c>
      <c r="J10" s="181" t="s">
        <v>359</v>
      </c>
      <c r="K10" s="181" t="s">
        <v>360</v>
      </c>
      <c r="L10" s="301"/>
      <c r="M10" s="181" t="s">
        <v>361</v>
      </c>
      <c r="N10" s="181" t="s">
        <v>362</v>
      </c>
      <c r="O10" s="181" t="s">
        <v>363</v>
      </c>
      <c r="P10" s="181" t="s">
        <v>364</v>
      </c>
      <c r="Q10" s="181" t="s">
        <v>109</v>
      </c>
      <c r="R10" s="199" t="s">
        <v>365</v>
      </c>
      <c r="S10" s="181" t="s">
        <v>366</v>
      </c>
      <c r="T10" s="181" t="s">
        <v>367</v>
      </c>
      <c r="U10" s="200" t="s">
        <v>368</v>
      </c>
      <c r="V10" s="198" t="s">
        <v>369</v>
      </c>
      <c r="W10" s="198" t="s">
        <v>370</v>
      </c>
      <c r="X10" s="198" t="s">
        <v>371</v>
      </c>
      <c r="Y10" s="181" t="s">
        <v>372</v>
      </c>
      <c r="Z10" s="181" t="s">
        <v>373</v>
      </c>
      <c r="AA10" s="239" t="s">
        <v>374</v>
      </c>
      <c r="AB10" s="239" t="s">
        <v>375</v>
      </c>
      <c r="AC10" s="181" t="s">
        <v>376</v>
      </c>
      <c r="AD10" s="181" t="s">
        <v>377</v>
      </c>
      <c r="AE10" s="181" t="s">
        <v>378</v>
      </c>
      <c r="AF10" s="143" t="s">
        <v>379</v>
      </c>
      <c r="AG10" s="144" t="s">
        <v>380</v>
      </c>
      <c r="AH10" s="144" t="s">
        <v>381</v>
      </c>
      <c r="AI10" s="145" t="s">
        <v>382</v>
      </c>
      <c r="AJ10" s="145" t="s">
        <v>383</v>
      </c>
      <c r="AK10" s="165" t="s">
        <v>384</v>
      </c>
      <c r="AL10" s="175"/>
      <c r="AM10" s="175"/>
      <c r="AN10" s="175"/>
      <c r="AO10" s="175"/>
      <c r="AP10" s="175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6"/>
      <c r="BS10" s="176"/>
      <c r="BT10" s="176"/>
      <c r="BU10" s="17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46"/>
      <c r="CU10" s="146"/>
      <c r="CV10" s="146"/>
      <c r="CW10" s="146"/>
      <c r="CX10" s="146"/>
      <c r="CY10" s="146"/>
    </row>
    <row r="11" spans="1:103" s="205" customFormat="1" ht="132.44999999999999" customHeight="1" x14ac:dyDescent="0.3">
      <c r="A11" s="271" t="s">
        <v>385</v>
      </c>
      <c r="B11" s="274" t="s">
        <v>557</v>
      </c>
      <c r="C11" s="274" t="s">
        <v>386</v>
      </c>
      <c r="D11" s="183" t="s">
        <v>387</v>
      </c>
      <c r="E11" s="183">
        <v>0</v>
      </c>
      <c r="F11" s="183">
        <v>0</v>
      </c>
      <c r="G11" s="183">
        <v>0</v>
      </c>
      <c r="H11" s="235">
        <v>17</v>
      </c>
      <c r="I11" s="302" t="s">
        <v>135</v>
      </c>
      <c r="J11" s="187" t="s">
        <v>388</v>
      </c>
      <c r="K11" s="186" t="s">
        <v>558</v>
      </c>
      <c r="L11" s="183" t="s">
        <v>559</v>
      </c>
      <c r="M11" s="183" t="s">
        <v>389</v>
      </c>
      <c r="N11" s="183" t="s">
        <v>390</v>
      </c>
      <c r="O11" s="183" t="s">
        <v>391</v>
      </c>
      <c r="P11" s="183">
        <v>0</v>
      </c>
      <c r="Q11" s="186" t="s">
        <v>389</v>
      </c>
      <c r="R11" s="184" t="s">
        <v>387</v>
      </c>
      <c r="S11" s="185">
        <v>2</v>
      </c>
      <c r="T11" s="185">
        <v>3</v>
      </c>
      <c r="U11" s="185">
        <f t="shared" ref="U11:U18" si="0">SUM(S11*T11)</f>
        <v>6</v>
      </c>
      <c r="V11" s="186" t="str">
        <f t="shared" ref="V11:V18" si="1">VLOOKUP(U11,BZ246:CA257,2)</f>
        <v>Medio</v>
      </c>
      <c r="W11" s="185">
        <v>10</v>
      </c>
      <c r="X11" s="185">
        <f t="shared" ref="X11:X52" si="2">+U11*W11</f>
        <v>60</v>
      </c>
      <c r="Y11" s="185" t="str">
        <f t="shared" ref="Y11:Y18" si="3">VLOOKUP(X11,CC247:CF270,2)</f>
        <v xml:space="preserve">III Mejorar si es posible.  Sería conveniente justificar la intervención y su rentabilidad. </v>
      </c>
      <c r="Z11" s="231" t="str">
        <f t="shared" ref="Z11:Z18" si="4">VLOOKUP(X11,CC247:CG270,3)</f>
        <v>Aceptable</v>
      </c>
      <c r="AA11" s="235" t="s">
        <v>389</v>
      </c>
      <c r="AB11" s="235" t="s">
        <v>389</v>
      </c>
      <c r="AC11" s="237" t="s">
        <v>389</v>
      </c>
      <c r="AD11" s="183" t="s">
        <v>560</v>
      </c>
      <c r="AE11" s="183" t="s">
        <v>561</v>
      </c>
      <c r="AF11" s="149"/>
      <c r="AG11" s="152"/>
      <c r="AH11" s="152"/>
      <c r="AI11" s="149"/>
      <c r="AJ11" s="149"/>
      <c r="AK11" s="152"/>
      <c r="AL11" s="201"/>
      <c r="AM11" s="201"/>
      <c r="AN11" s="201"/>
      <c r="AO11" s="201"/>
      <c r="AP11" s="201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3"/>
      <c r="BW11" s="204"/>
      <c r="BX11" s="204"/>
      <c r="BY11" s="204"/>
      <c r="BZ11" s="204"/>
      <c r="CA11" s="204"/>
      <c r="CB11" s="204"/>
      <c r="CC11" s="204"/>
      <c r="CD11" s="204"/>
      <c r="CE11" s="204"/>
      <c r="CF11" s="204"/>
      <c r="CG11" s="204"/>
      <c r="CH11" s="204"/>
      <c r="CI11" s="204"/>
      <c r="CJ11" s="204"/>
      <c r="CK11" s="204"/>
      <c r="CL11" s="204"/>
      <c r="CM11" s="204"/>
      <c r="CN11" s="204"/>
      <c r="CO11" s="204"/>
      <c r="CP11" s="204"/>
      <c r="CQ11" s="204"/>
      <c r="CR11" s="204"/>
      <c r="CS11" s="204"/>
      <c r="CT11" s="204"/>
      <c r="CU11" s="204"/>
      <c r="CV11" s="204"/>
      <c r="CW11" s="204"/>
      <c r="CX11" s="204"/>
      <c r="CY11" s="204"/>
    </row>
    <row r="12" spans="1:103" s="205" customFormat="1" ht="111.75" customHeight="1" x14ac:dyDescent="0.3">
      <c r="A12" s="272"/>
      <c r="B12" s="272"/>
      <c r="C12" s="272"/>
      <c r="D12" s="182" t="s">
        <v>387</v>
      </c>
      <c r="E12" s="182">
        <v>0</v>
      </c>
      <c r="F12" s="182">
        <v>0</v>
      </c>
      <c r="G12" s="182">
        <v>0</v>
      </c>
      <c r="H12" s="183">
        <v>17</v>
      </c>
      <c r="I12" s="273"/>
      <c r="J12" s="182" t="s">
        <v>219</v>
      </c>
      <c r="K12" s="182" t="s">
        <v>562</v>
      </c>
      <c r="L12" s="186" t="s">
        <v>392</v>
      </c>
      <c r="M12" s="182" t="s">
        <v>389</v>
      </c>
      <c r="N12" s="182" t="s">
        <v>389</v>
      </c>
      <c r="O12" s="182" t="s">
        <v>563</v>
      </c>
      <c r="P12" s="182">
        <v>0</v>
      </c>
      <c r="Q12" s="186" t="s">
        <v>389</v>
      </c>
      <c r="R12" s="182" t="s">
        <v>387</v>
      </c>
      <c r="S12" s="185">
        <v>6</v>
      </c>
      <c r="T12" s="185">
        <v>3</v>
      </c>
      <c r="U12" s="185">
        <f t="shared" si="0"/>
        <v>18</v>
      </c>
      <c r="V12" s="186" t="str">
        <f t="shared" si="1"/>
        <v>Alto</v>
      </c>
      <c r="W12" s="185">
        <v>25</v>
      </c>
      <c r="X12" s="185">
        <f t="shared" si="2"/>
        <v>450</v>
      </c>
      <c r="Y12" s="185" t="str">
        <f t="shared" si="3"/>
        <v>II Corregir y adoptar medidas de control inmediato.  Sin embargo, suspenda actividades si el nivel de consecuencia está por encima de 60.</v>
      </c>
      <c r="Z12" s="231" t="str">
        <f t="shared" si="4"/>
        <v>No Aceptable</v>
      </c>
      <c r="AA12" s="235" t="s">
        <v>389</v>
      </c>
      <c r="AB12" s="235" t="s">
        <v>389</v>
      </c>
      <c r="AC12" s="238" t="s">
        <v>536</v>
      </c>
      <c r="AD12" s="182" t="s">
        <v>564</v>
      </c>
      <c r="AE12" s="182" t="s">
        <v>565</v>
      </c>
      <c r="AF12" s="148"/>
      <c r="AG12" s="148"/>
      <c r="AH12" s="148"/>
      <c r="AI12" s="148"/>
      <c r="AJ12" s="148"/>
      <c r="AK12" s="206"/>
      <c r="AL12" s="201"/>
      <c r="AM12" s="201"/>
      <c r="AN12" s="201"/>
      <c r="AO12" s="201"/>
      <c r="AP12" s="201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3"/>
      <c r="BW12" s="204"/>
      <c r="BX12" s="204"/>
      <c r="BY12" s="204"/>
      <c r="BZ12" s="204"/>
      <c r="CA12" s="204"/>
      <c r="CB12" s="204"/>
      <c r="CC12" s="204"/>
      <c r="CD12" s="204"/>
      <c r="CE12" s="204"/>
      <c r="CF12" s="204"/>
      <c r="CG12" s="204"/>
      <c r="CH12" s="204"/>
      <c r="CI12" s="204"/>
      <c r="CJ12" s="204"/>
      <c r="CK12" s="204"/>
      <c r="CL12" s="204"/>
      <c r="CM12" s="204"/>
      <c r="CN12" s="204"/>
      <c r="CO12" s="204"/>
      <c r="CP12" s="204"/>
      <c r="CQ12" s="204"/>
      <c r="CR12" s="204"/>
      <c r="CS12" s="204"/>
      <c r="CT12" s="204"/>
      <c r="CU12" s="204"/>
      <c r="CV12" s="204"/>
      <c r="CW12" s="204"/>
      <c r="CX12" s="204"/>
      <c r="CY12" s="204"/>
    </row>
    <row r="13" spans="1:103" s="205" customFormat="1" ht="111.75" customHeight="1" x14ac:dyDescent="0.3">
      <c r="A13" s="272"/>
      <c r="B13" s="272"/>
      <c r="C13" s="272"/>
      <c r="D13" s="182" t="s">
        <v>387</v>
      </c>
      <c r="E13" s="182">
        <v>0</v>
      </c>
      <c r="F13" s="182">
        <v>0</v>
      </c>
      <c r="G13" s="229">
        <v>0</v>
      </c>
      <c r="H13" s="235">
        <v>17</v>
      </c>
      <c r="I13" s="232" t="s">
        <v>566</v>
      </c>
      <c r="J13" s="182" t="s">
        <v>567</v>
      </c>
      <c r="K13" s="182" t="s">
        <v>568</v>
      </c>
      <c r="L13" s="182" t="s">
        <v>569</v>
      </c>
      <c r="M13" s="182" t="s">
        <v>389</v>
      </c>
      <c r="N13" s="183" t="s">
        <v>390</v>
      </c>
      <c r="O13" s="182" t="s">
        <v>570</v>
      </c>
      <c r="P13" s="182">
        <v>0</v>
      </c>
      <c r="Q13" s="186" t="s">
        <v>389</v>
      </c>
      <c r="R13" s="182" t="s">
        <v>387</v>
      </c>
      <c r="S13" s="185">
        <v>2</v>
      </c>
      <c r="T13" s="185">
        <v>3</v>
      </c>
      <c r="U13" s="185">
        <f t="shared" si="0"/>
        <v>6</v>
      </c>
      <c r="V13" s="186" t="str">
        <f t="shared" si="1"/>
        <v>Medio</v>
      </c>
      <c r="W13" s="185">
        <v>10</v>
      </c>
      <c r="X13" s="185">
        <f t="shared" si="2"/>
        <v>60</v>
      </c>
      <c r="Y13" s="185" t="str">
        <f t="shared" si="3"/>
        <v xml:space="preserve">III Mejorar si es posible.  Sería conveniente justificar la intervención y su rentabilidad. </v>
      </c>
      <c r="Z13" s="185" t="str">
        <f t="shared" si="4"/>
        <v>Aceptable</v>
      </c>
      <c r="AA13" s="235" t="s">
        <v>389</v>
      </c>
      <c r="AB13" s="235" t="s">
        <v>389</v>
      </c>
      <c r="AC13" s="235" t="s">
        <v>389</v>
      </c>
      <c r="AD13" s="182" t="s">
        <v>537</v>
      </c>
      <c r="AE13" s="182" t="s">
        <v>661</v>
      </c>
      <c r="AF13" s="148"/>
      <c r="AG13" s="148"/>
      <c r="AH13" s="148"/>
      <c r="AI13" s="148"/>
      <c r="AJ13" s="148"/>
      <c r="AK13" s="206"/>
      <c r="AL13" s="201"/>
      <c r="AM13" s="201"/>
      <c r="AN13" s="201"/>
      <c r="AO13" s="201"/>
      <c r="AP13" s="201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3"/>
      <c r="BW13" s="204"/>
      <c r="BX13" s="204"/>
      <c r="BY13" s="204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204"/>
      <c r="CS13" s="204"/>
      <c r="CT13" s="204"/>
      <c r="CU13" s="204"/>
      <c r="CV13" s="204"/>
      <c r="CW13" s="204"/>
      <c r="CX13" s="204"/>
      <c r="CY13" s="204"/>
    </row>
    <row r="14" spans="1:103" s="205" customFormat="1" ht="111.75" customHeight="1" x14ac:dyDescent="0.3">
      <c r="A14" s="272"/>
      <c r="B14" s="273"/>
      <c r="C14" s="273"/>
      <c r="D14" s="207" t="s">
        <v>387</v>
      </c>
      <c r="E14" s="207">
        <v>0</v>
      </c>
      <c r="F14" s="207">
        <v>0</v>
      </c>
      <c r="G14" s="230">
        <v>0</v>
      </c>
      <c r="H14" s="235">
        <v>17</v>
      </c>
      <c r="I14" s="233" t="s">
        <v>571</v>
      </c>
      <c r="J14" s="182" t="s">
        <v>159</v>
      </c>
      <c r="K14" s="182" t="s">
        <v>572</v>
      </c>
      <c r="L14" s="182" t="s">
        <v>573</v>
      </c>
      <c r="M14" s="182" t="s">
        <v>389</v>
      </c>
      <c r="N14" s="182" t="s">
        <v>574</v>
      </c>
      <c r="O14" s="182" t="s">
        <v>575</v>
      </c>
      <c r="P14" s="182">
        <v>0</v>
      </c>
      <c r="Q14" s="186" t="s">
        <v>389</v>
      </c>
      <c r="R14" s="182" t="s">
        <v>387</v>
      </c>
      <c r="S14" s="186">
        <v>2</v>
      </c>
      <c r="T14" s="186">
        <v>3</v>
      </c>
      <c r="U14" s="186">
        <f t="shared" si="0"/>
        <v>6</v>
      </c>
      <c r="V14" s="186" t="str">
        <f t="shared" si="1"/>
        <v>Medio</v>
      </c>
      <c r="W14" s="186">
        <v>10</v>
      </c>
      <c r="X14" s="186">
        <f t="shared" si="2"/>
        <v>60</v>
      </c>
      <c r="Y14" s="186" t="str">
        <f t="shared" si="3"/>
        <v xml:space="preserve">III Mejorar si es posible.  Sería conveniente justificar la intervención y su rentabilidad. </v>
      </c>
      <c r="Z14" s="186" t="str">
        <f t="shared" si="4"/>
        <v>Aceptable</v>
      </c>
      <c r="AA14" s="235" t="s">
        <v>389</v>
      </c>
      <c r="AB14" s="235" t="s">
        <v>389</v>
      </c>
      <c r="AC14" s="235" t="s">
        <v>389</v>
      </c>
      <c r="AD14" s="182" t="s">
        <v>576</v>
      </c>
      <c r="AE14" s="182" t="s">
        <v>393</v>
      </c>
      <c r="AF14" s="148"/>
      <c r="AG14" s="148"/>
      <c r="AH14" s="148"/>
      <c r="AI14" s="148"/>
      <c r="AJ14" s="148"/>
      <c r="AK14" s="206"/>
      <c r="AL14" s="201"/>
      <c r="AM14" s="201"/>
      <c r="AN14" s="201"/>
      <c r="AO14" s="201"/>
      <c r="AP14" s="201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3"/>
      <c r="BW14" s="204"/>
      <c r="BX14" s="204"/>
      <c r="BY14" s="204"/>
      <c r="BZ14" s="204"/>
      <c r="CA14" s="204"/>
      <c r="CB14" s="204"/>
      <c r="CC14" s="204"/>
      <c r="CD14" s="204"/>
      <c r="CE14" s="204"/>
      <c r="CF14" s="204"/>
      <c r="CG14" s="204"/>
      <c r="CH14" s="204"/>
      <c r="CI14" s="204"/>
      <c r="CJ14" s="204"/>
      <c r="CK14" s="204"/>
      <c r="CL14" s="204"/>
      <c r="CM14" s="204"/>
      <c r="CN14" s="204"/>
      <c r="CO14" s="204"/>
      <c r="CP14" s="204"/>
      <c r="CQ14" s="204"/>
      <c r="CR14" s="204"/>
      <c r="CS14" s="204"/>
      <c r="CT14" s="204"/>
      <c r="CU14" s="204"/>
      <c r="CV14" s="204"/>
      <c r="CW14" s="204"/>
      <c r="CX14" s="204"/>
      <c r="CY14" s="204"/>
    </row>
    <row r="15" spans="1:103" s="205" customFormat="1" ht="111.75" customHeight="1" x14ac:dyDescent="0.3">
      <c r="A15" s="272"/>
      <c r="B15" s="274" t="s">
        <v>577</v>
      </c>
      <c r="C15" s="274" t="s">
        <v>578</v>
      </c>
      <c r="D15" s="182" t="s">
        <v>387</v>
      </c>
      <c r="E15" s="182">
        <v>0</v>
      </c>
      <c r="F15" s="182">
        <v>0</v>
      </c>
      <c r="G15" s="229">
        <v>0</v>
      </c>
      <c r="H15" s="235">
        <v>17</v>
      </c>
      <c r="I15" s="275" t="s">
        <v>135</v>
      </c>
      <c r="J15" s="182" t="s">
        <v>388</v>
      </c>
      <c r="K15" s="186" t="s">
        <v>558</v>
      </c>
      <c r="L15" s="182" t="s">
        <v>559</v>
      </c>
      <c r="M15" s="182" t="s">
        <v>389</v>
      </c>
      <c r="N15" s="182" t="s">
        <v>390</v>
      </c>
      <c r="O15" s="182" t="s">
        <v>391</v>
      </c>
      <c r="P15" s="182">
        <v>0</v>
      </c>
      <c r="Q15" s="186" t="s">
        <v>389</v>
      </c>
      <c r="R15" s="189" t="s">
        <v>387</v>
      </c>
      <c r="S15" s="186">
        <v>6</v>
      </c>
      <c r="T15" s="186">
        <v>3</v>
      </c>
      <c r="U15" s="186">
        <f t="shared" si="0"/>
        <v>18</v>
      </c>
      <c r="V15" s="186" t="str">
        <f t="shared" si="1"/>
        <v>Alto</v>
      </c>
      <c r="W15" s="186">
        <v>10</v>
      </c>
      <c r="X15" s="186">
        <f t="shared" si="2"/>
        <v>180</v>
      </c>
      <c r="Y15" s="186" t="str">
        <f t="shared" si="3"/>
        <v>II Corregir y adoptar medidas de control inmediato.  Sin embargo, suspenda actividades si el nivel de consecuencia está por encima de 60.</v>
      </c>
      <c r="Z15" s="186" t="str">
        <f t="shared" si="4"/>
        <v>No Aceptable</v>
      </c>
      <c r="AA15" s="182" t="s">
        <v>389</v>
      </c>
      <c r="AB15" s="182" t="s">
        <v>389</v>
      </c>
      <c r="AC15" s="182" t="s">
        <v>389</v>
      </c>
      <c r="AD15" s="182" t="s">
        <v>579</v>
      </c>
      <c r="AE15" s="182" t="s">
        <v>561</v>
      </c>
      <c r="AF15" s="148"/>
      <c r="AG15" s="148"/>
      <c r="AH15" s="148"/>
      <c r="AI15" s="148"/>
      <c r="AJ15" s="148"/>
      <c r="AK15" s="206"/>
      <c r="AL15" s="201"/>
      <c r="AM15" s="201"/>
      <c r="AN15" s="201"/>
      <c r="AO15" s="201"/>
      <c r="AP15" s="201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3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4"/>
      <c r="CH15" s="204"/>
      <c r="CI15" s="204"/>
      <c r="CJ15" s="204"/>
      <c r="CK15" s="204"/>
      <c r="CL15" s="204"/>
      <c r="CM15" s="204"/>
      <c r="CN15" s="204"/>
      <c r="CO15" s="204"/>
      <c r="CP15" s="204"/>
      <c r="CQ15" s="204"/>
      <c r="CR15" s="204"/>
      <c r="CS15" s="204"/>
      <c r="CT15" s="204"/>
      <c r="CU15" s="204"/>
      <c r="CV15" s="204"/>
      <c r="CW15" s="204"/>
      <c r="CX15" s="204"/>
      <c r="CY15" s="204"/>
    </row>
    <row r="16" spans="1:103" s="205" customFormat="1" ht="111.75" customHeight="1" x14ac:dyDescent="0.3">
      <c r="A16" s="272"/>
      <c r="B16" s="272"/>
      <c r="C16" s="272"/>
      <c r="D16" s="182" t="s">
        <v>387</v>
      </c>
      <c r="E16" s="182">
        <v>0</v>
      </c>
      <c r="F16" s="182">
        <v>0</v>
      </c>
      <c r="G16" s="229">
        <v>0</v>
      </c>
      <c r="H16" s="235">
        <v>17</v>
      </c>
      <c r="I16" s="276"/>
      <c r="J16" s="182" t="s">
        <v>219</v>
      </c>
      <c r="K16" s="182" t="s">
        <v>580</v>
      </c>
      <c r="L16" s="186" t="s">
        <v>392</v>
      </c>
      <c r="M16" s="182" t="s">
        <v>389</v>
      </c>
      <c r="N16" s="182" t="s">
        <v>389</v>
      </c>
      <c r="O16" s="182" t="s">
        <v>563</v>
      </c>
      <c r="P16" s="182">
        <v>0</v>
      </c>
      <c r="Q16" s="186" t="s">
        <v>389</v>
      </c>
      <c r="R16" s="182" t="s">
        <v>387</v>
      </c>
      <c r="S16" s="186">
        <v>6</v>
      </c>
      <c r="T16" s="186">
        <v>3</v>
      </c>
      <c r="U16" s="186">
        <f t="shared" si="0"/>
        <v>18</v>
      </c>
      <c r="V16" s="186" t="str">
        <f t="shared" si="1"/>
        <v>Alto</v>
      </c>
      <c r="W16" s="186">
        <v>25</v>
      </c>
      <c r="X16" s="186">
        <f t="shared" si="2"/>
        <v>450</v>
      </c>
      <c r="Y16" s="186" t="str">
        <f t="shared" si="3"/>
        <v>II Corregir y adoptar medidas de control inmediato.  Sin embargo, suspenda actividades si el nivel de consecuencia está por encima de 60.</v>
      </c>
      <c r="Z16" s="186" t="str">
        <f t="shared" si="4"/>
        <v>No Aceptable</v>
      </c>
      <c r="AA16" s="182" t="s">
        <v>389</v>
      </c>
      <c r="AB16" s="182" t="s">
        <v>389</v>
      </c>
      <c r="AC16" s="182" t="s">
        <v>389</v>
      </c>
      <c r="AD16" s="182" t="s">
        <v>581</v>
      </c>
      <c r="AE16" s="182" t="s">
        <v>565</v>
      </c>
      <c r="AF16" s="148"/>
      <c r="AG16" s="148"/>
      <c r="AH16" s="148"/>
      <c r="AI16" s="148"/>
      <c r="AJ16" s="148"/>
      <c r="AK16" s="206"/>
      <c r="AL16" s="201"/>
      <c r="AM16" s="201"/>
      <c r="AN16" s="201"/>
      <c r="AO16" s="201"/>
      <c r="AP16" s="201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3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4"/>
      <c r="CH16" s="204"/>
      <c r="CI16" s="204"/>
      <c r="CJ16" s="204"/>
      <c r="CK16" s="204"/>
      <c r="CL16" s="204"/>
      <c r="CM16" s="204"/>
      <c r="CN16" s="204"/>
      <c r="CO16" s="204"/>
      <c r="CP16" s="204"/>
      <c r="CQ16" s="204"/>
      <c r="CR16" s="204"/>
      <c r="CS16" s="204"/>
      <c r="CT16" s="204"/>
      <c r="CU16" s="204"/>
      <c r="CV16" s="204"/>
      <c r="CW16" s="204"/>
      <c r="CX16" s="204"/>
      <c r="CY16" s="204"/>
    </row>
    <row r="17" spans="1:103" s="205" customFormat="1" ht="111.75" customHeight="1" x14ac:dyDescent="0.3">
      <c r="A17" s="272"/>
      <c r="B17" s="272"/>
      <c r="C17" s="272"/>
      <c r="D17" s="182" t="s">
        <v>387</v>
      </c>
      <c r="E17" s="182">
        <v>0</v>
      </c>
      <c r="F17" s="182">
        <v>0</v>
      </c>
      <c r="G17" s="229">
        <v>0</v>
      </c>
      <c r="H17" s="235">
        <v>17</v>
      </c>
      <c r="I17" s="232" t="s">
        <v>566</v>
      </c>
      <c r="J17" s="182" t="s">
        <v>567</v>
      </c>
      <c r="K17" s="182" t="s">
        <v>568</v>
      </c>
      <c r="L17" s="182" t="s">
        <v>569</v>
      </c>
      <c r="M17" s="182" t="s">
        <v>389</v>
      </c>
      <c r="N17" s="183" t="s">
        <v>390</v>
      </c>
      <c r="O17" s="182" t="s">
        <v>570</v>
      </c>
      <c r="P17" s="182">
        <v>0</v>
      </c>
      <c r="Q17" s="186" t="s">
        <v>389</v>
      </c>
      <c r="R17" s="182" t="s">
        <v>387</v>
      </c>
      <c r="S17" s="185">
        <v>2</v>
      </c>
      <c r="T17" s="185">
        <v>3</v>
      </c>
      <c r="U17" s="185">
        <f t="shared" si="0"/>
        <v>6</v>
      </c>
      <c r="V17" s="186" t="str">
        <f t="shared" si="1"/>
        <v>Medio</v>
      </c>
      <c r="W17" s="185">
        <v>10</v>
      </c>
      <c r="X17" s="185">
        <f t="shared" si="2"/>
        <v>60</v>
      </c>
      <c r="Y17" s="185" t="str">
        <f t="shared" si="3"/>
        <v xml:space="preserve">III Mejorar si es posible.  Sería conveniente justificar la intervención y su rentabilidad. </v>
      </c>
      <c r="Z17" s="185" t="str">
        <f t="shared" si="4"/>
        <v>Aceptable</v>
      </c>
      <c r="AA17" s="182" t="s">
        <v>389</v>
      </c>
      <c r="AB17" s="182" t="s">
        <v>389</v>
      </c>
      <c r="AC17" s="182" t="s">
        <v>389</v>
      </c>
      <c r="AD17" s="182" t="s">
        <v>538</v>
      </c>
      <c r="AE17" s="182" t="s">
        <v>582</v>
      </c>
      <c r="AF17" s="148"/>
      <c r="AG17" s="148"/>
      <c r="AH17" s="148"/>
      <c r="AI17" s="148"/>
      <c r="AJ17" s="148"/>
      <c r="AK17" s="206"/>
      <c r="AL17" s="201"/>
      <c r="AM17" s="201"/>
      <c r="AN17" s="201"/>
      <c r="AO17" s="201"/>
      <c r="AP17" s="201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3"/>
      <c r="BW17" s="204"/>
      <c r="BX17" s="204"/>
      <c r="BY17" s="204"/>
      <c r="BZ17" s="204"/>
      <c r="CA17" s="204"/>
      <c r="CB17" s="204"/>
      <c r="CC17" s="204"/>
      <c r="CD17" s="204"/>
      <c r="CE17" s="204"/>
      <c r="CF17" s="204"/>
      <c r="CG17" s="204"/>
      <c r="CH17" s="204"/>
      <c r="CI17" s="204"/>
      <c r="CJ17" s="204"/>
      <c r="CK17" s="204"/>
      <c r="CL17" s="204"/>
      <c r="CM17" s="204"/>
      <c r="CN17" s="204"/>
      <c r="CO17" s="204"/>
      <c r="CP17" s="204"/>
      <c r="CQ17" s="204"/>
      <c r="CR17" s="204"/>
      <c r="CS17" s="204"/>
      <c r="CT17" s="204"/>
      <c r="CU17" s="204"/>
      <c r="CV17" s="204"/>
      <c r="CW17" s="204"/>
      <c r="CX17" s="204"/>
      <c r="CY17" s="204"/>
    </row>
    <row r="18" spans="1:103" s="205" customFormat="1" ht="111.75" customHeight="1" x14ac:dyDescent="0.3">
      <c r="A18" s="273"/>
      <c r="B18" s="273"/>
      <c r="C18" s="273"/>
      <c r="D18" s="182" t="s">
        <v>387</v>
      </c>
      <c r="E18" s="182">
        <v>0</v>
      </c>
      <c r="F18" s="182">
        <v>0</v>
      </c>
      <c r="G18" s="230">
        <v>0</v>
      </c>
      <c r="H18" s="235">
        <v>17</v>
      </c>
      <c r="I18" s="232" t="s">
        <v>571</v>
      </c>
      <c r="J18" s="182" t="s">
        <v>159</v>
      </c>
      <c r="K18" s="182" t="s">
        <v>572</v>
      </c>
      <c r="L18" s="182" t="s">
        <v>573</v>
      </c>
      <c r="M18" s="182" t="s">
        <v>389</v>
      </c>
      <c r="N18" s="182" t="s">
        <v>574</v>
      </c>
      <c r="O18" s="182" t="s">
        <v>575</v>
      </c>
      <c r="P18" s="182">
        <v>0</v>
      </c>
      <c r="Q18" s="186" t="s">
        <v>389</v>
      </c>
      <c r="R18" s="182" t="s">
        <v>387</v>
      </c>
      <c r="S18" s="186">
        <v>2</v>
      </c>
      <c r="T18" s="186">
        <v>3</v>
      </c>
      <c r="U18" s="186">
        <f t="shared" si="0"/>
        <v>6</v>
      </c>
      <c r="V18" s="186" t="str">
        <f t="shared" si="1"/>
        <v>Medio</v>
      </c>
      <c r="W18" s="186">
        <v>10</v>
      </c>
      <c r="X18" s="186">
        <f t="shared" si="2"/>
        <v>60</v>
      </c>
      <c r="Y18" s="186" t="str">
        <f t="shared" si="3"/>
        <v xml:space="preserve">III Mejorar si es posible.  Sería conveniente justificar la intervención y su rentabilidad. </v>
      </c>
      <c r="Z18" s="186" t="str">
        <f t="shared" si="4"/>
        <v>Aceptable</v>
      </c>
      <c r="AA18" s="182" t="s">
        <v>389</v>
      </c>
      <c r="AB18" s="182" t="s">
        <v>389</v>
      </c>
      <c r="AC18" s="182" t="s">
        <v>389</v>
      </c>
      <c r="AD18" s="182" t="s">
        <v>583</v>
      </c>
      <c r="AE18" s="182" t="s">
        <v>393</v>
      </c>
      <c r="AF18" s="153"/>
      <c r="AG18" s="153"/>
      <c r="AH18" s="153"/>
      <c r="AI18" s="153"/>
      <c r="AJ18" s="153"/>
      <c r="AK18" s="166"/>
      <c r="AL18" s="201"/>
      <c r="AM18" s="201"/>
      <c r="AN18" s="201"/>
      <c r="AO18" s="201"/>
      <c r="AP18" s="201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8"/>
      <c r="BW18" s="209"/>
      <c r="BX18" s="209"/>
      <c r="BY18" s="209"/>
      <c r="BZ18" s="209"/>
      <c r="CA18" s="209"/>
      <c r="CB18" s="209"/>
      <c r="CC18" s="209"/>
      <c r="CD18" s="209"/>
      <c r="CE18" s="209"/>
      <c r="CF18" s="209"/>
      <c r="CG18" s="209"/>
      <c r="CH18" s="209"/>
      <c r="CI18" s="209"/>
      <c r="CJ18" s="209"/>
      <c r="CK18" s="209"/>
      <c r="CL18" s="209"/>
      <c r="CM18" s="209"/>
      <c r="CN18" s="209"/>
      <c r="CO18" s="209"/>
      <c r="CP18" s="209"/>
      <c r="CQ18" s="209"/>
      <c r="CR18" s="209"/>
      <c r="CS18" s="209"/>
      <c r="CT18" s="209"/>
      <c r="CU18" s="209"/>
      <c r="CV18" s="209"/>
      <c r="CW18" s="209"/>
      <c r="CX18" s="209"/>
      <c r="CY18" s="209"/>
    </row>
    <row r="19" spans="1:103" s="205" customFormat="1" ht="93" customHeight="1" x14ac:dyDescent="0.3">
      <c r="A19" s="279" t="s">
        <v>394</v>
      </c>
      <c r="B19" s="274" t="s">
        <v>395</v>
      </c>
      <c r="C19" s="274" t="s">
        <v>584</v>
      </c>
      <c r="D19" s="210" t="s">
        <v>387</v>
      </c>
      <c r="E19" s="189">
        <v>0</v>
      </c>
      <c r="F19" s="236">
        <v>0</v>
      </c>
      <c r="G19" s="235">
        <v>0</v>
      </c>
      <c r="H19" s="235">
        <v>17</v>
      </c>
      <c r="I19" s="232" t="s">
        <v>585</v>
      </c>
      <c r="J19" s="186" t="s">
        <v>111</v>
      </c>
      <c r="K19" s="186" t="s">
        <v>586</v>
      </c>
      <c r="L19" s="211" t="s">
        <v>539</v>
      </c>
      <c r="M19" s="186" t="s">
        <v>389</v>
      </c>
      <c r="N19" s="186" t="s">
        <v>540</v>
      </c>
      <c r="O19" s="186" t="s">
        <v>587</v>
      </c>
      <c r="P19" s="186">
        <v>0</v>
      </c>
      <c r="Q19" s="186" t="s">
        <v>389</v>
      </c>
      <c r="R19" s="190" t="s">
        <v>387</v>
      </c>
      <c r="S19" s="186">
        <v>2</v>
      </c>
      <c r="T19" s="186">
        <v>2</v>
      </c>
      <c r="U19" s="186">
        <f>S19*T19</f>
        <v>4</v>
      </c>
      <c r="V19" s="186" t="str">
        <f>VLOOKUP(U19,BZ253:CA264,2)</f>
        <v>Bajo</v>
      </c>
      <c r="W19" s="186">
        <v>25</v>
      </c>
      <c r="X19" s="186">
        <f t="shared" si="2"/>
        <v>100</v>
      </c>
      <c r="Y19" s="186" t="str">
        <f>VLOOKUP(X19,CC254:CF277,2)</f>
        <v xml:space="preserve">III Mejorar si es posible.  Sería conveniente justificar la intervención y su rentabilidad. </v>
      </c>
      <c r="Z19" s="186" t="str">
        <f>VLOOKUP(X19,CC254:CG277,3)</f>
        <v>Aceptable</v>
      </c>
      <c r="AA19" s="186" t="s">
        <v>389</v>
      </c>
      <c r="AB19" s="186" t="s">
        <v>389</v>
      </c>
      <c r="AC19" s="186" t="s">
        <v>389</v>
      </c>
      <c r="AD19" s="186" t="s">
        <v>588</v>
      </c>
      <c r="AE19" s="186" t="s">
        <v>398</v>
      </c>
      <c r="AF19" s="150"/>
      <c r="AG19" s="212"/>
      <c r="AH19" s="212"/>
      <c r="AI19" s="213">
        <v>1</v>
      </c>
      <c r="AJ19" s="214">
        <v>1</v>
      </c>
      <c r="AK19" s="215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17"/>
      <c r="BJ19" s="217"/>
      <c r="BK19" s="217"/>
      <c r="BL19" s="217"/>
      <c r="BM19" s="217"/>
      <c r="BN19" s="217"/>
      <c r="BO19" s="217"/>
      <c r="BP19" s="217"/>
      <c r="BQ19" s="217"/>
      <c r="BR19" s="217"/>
      <c r="BS19" s="217"/>
      <c r="BT19" s="217"/>
      <c r="BU19" s="217"/>
      <c r="BV19" s="218"/>
      <c r="BW19" s="219"/>
      <c r="BX19" s="219"/>
      <c r="BY19" s="219"/>
      <c r="BZ19" s="219"/>
      <c r="CA19" s="219"/>
      <c r="CB19" s="219"/>
      <c r="CC19" s="219"/>
      <c r="CD19" s="219"/>
      <c r="CE19" s="219"/>
      <c r="CF19" s="219"/>
      <c r="CG19" s="219"/>
      <c r="CH19" s="219"/>
      <c r="CI19" s="219"/>
      <c r="CJ19" s="219"/>
      <c r="CK19" s="219"/>
      <c r="CL19" s="219"/>
      <c r="CM19" s="219"/>
      <c r="CN19" s="219"/>
      <c r="CO19" s="219"/>
      <c r="CP19" s="219"/>
      <c r="CQ19" s="219"/>
      <c r="CR19" s="219"/>
      <c r="CS19" s="219"/>
      <c r="CT19" s="219"/>
      <c r="CU19" s="219"/>
      <c r="CV19" s="219"/>
      <c r="CW19" s="219"/>
      <c r="CX19" s="219"/>
      <c r="CY19" s="219"/>
    </row>
    <row r="20" spans="1:103" s="205" customFormat="1" ht="93" customHeight="1" x14ac:dyDescent="0.3">
      <c r="A20" s="272"/>
      <c r="B20" s="272"/>
      <c r="C20" s="272"/>
      <c r="D20" s="220" t="s">
        <v>387</v>
      </c>
      <c r="E20" s="221">
        <v>0</v>
      </c>
      <c r="F20" s="221">
        <v>0</v>
      </c>
      <c r="G20" s="235">
        <v>0</v>
      </c>
      <c r="H20" s="235">
        <v>17</v>
      </c>
      <c r="I20" s="234" t="s">
        <v>566</v>
      </c>
      <c r="J20" s="185" t="s">
        <v>179</v>
      </c>
      <c r="K20" s="186" t="s">
        <v>399</v>
      </c>
      <c r="L20" s="182" t="s">
        <v>589</v>
      </c>
      <c r="M20" s="185" t="s">
        <v>389</v>
      </c>
      <c r="N20" s="185" t="s">
        <v>590</v>
      </c>
      <c r="O20" s="185" t="s">
        <v>541</v>
      </c>
      <c r="P20" s="185">
        <v>0</v>
      </c>
      <c r="Q20" s="186" t="s">
        <v>389</v>
      </c>
      <c r="R20" s="191" t="s">
        <v>387</v>
      </c>
      <c r="S20" s="185">
        <v>2</v>
      </c>
      <c r="T20" s="185">
        <v>3</v>
      </c>
      <c r="U20" s="185">
        <f>SUM(S20*T20)</f>
        <v>6</v>
      </c>
      <c r="V20" s="186" t="str">
        <f>VLOOKUP(U20,BZ252:CA263,2)</f>
        <v>Medio</v>
      </c>
      <c r="W20" s="185">
        <v>10</v>
      </c>
      <c r="X20" s="185">
        <f t="shared" si="2"/>
        <v>60</v>
      </c>
      <c r="Y20" s="185" t="str">
        <f>VLOOKUP(X20,CC253:CF276,2)</f>
        <v xml:space="preserve">III Mejorar si es posible.  Sería conveniente justificar la intervención y su rentabilidad. </v>
      </c>
      <c r="Z20" s="185" t="str">
        <f>VLOOKUP(X20,CC253:CG276,3)</f>
        <v>Aceptable</v>
      </c>
      <c r="AA20" s="185" t="s">
        <v>389</v>
      </c>
      <c r="AB20" s="185" t="s">
        <v>389</v>
      </c>
      <c r="AC20" s="185" t="s">
        <v>389</v>
      </c>
      <c r="AD20" s="185" t="s">
        <v>591</v>
      </c>
      <c r="AE20" s="185" t="s">
        <v>398</v>
      </c>
      <c r="AF20" s="150"/>
      <c r="AG20" s="212"/>
      <c r="AH20" s="212"/>
      <c r="AI20" s="213">
        <v>2</v>
      </c>
      <c r="AJ20" s="214">
        <v>2</v>
      </c>
      <c r="AK20" s="215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17"/>
      <c r="BJ20" s="217"/>
      <c r="BK20" s="217"/>
      <c r="BL20" s="217"/>
      <c r="BM20" s="217"/>
      <c r="BN20" s="217"/>
      <c r="BO20" s="217"/>
      <c r="BP20" s="217"/>
      <c r="BQ20" s="217"/>
      <c r="BR20" s="217"/>
      <c r="BS20" s="217"/>
      <c r="BT20" s="217"/>
      <c r="BU20" s="217"/>
      <c r="BV20" s="218"/>
      <c r="BW20" s="219"/>
      <c r="BX20" s="219"/>
      <c r="BY20" s="219"/>
      <c r="BZ20" s="219"/>
      <c r="CA20" s="219"/>
      <c r="CB20" s="219"/>
      <c r="CC20" s="219"/>
      <c r="CD20" s="219"/>
      <c r="CE20" s="219"/>
      <c r="CF20" s="219"/>
      <c r="CG20" s="219"/>
      <c r="CH20" s="219"/>
      <c r="CI20" s="219"/>
      <c r="CJ20" s="219"/>
      <c r="CK20" s="219"/>
      <c r="CL20" s="219"/>
      <c r="CM20" s="219"/>
      <c r="CN20" s="219"/>
      <c r="CO20" s="219"/>
      <c r="CP20" s="219"/>
      <c r="CQ20" s="219"/>
      <c r="CR20" s="219"/>
      <c r="CS20" s="219"/>
      <c r="CT20" s="219"/>
      <c r="CU20" s="219"/>
      <c r="CV20" s="219"/>
      <c r="CW20" s="219"/>
      <c r="CX20" s="219"/>
      <c r="CY20" s="219"/>
    </row>
    <row r="21" spans="1:103" s="205" customFormat="1" ht="93" customHeight="1" x14ac:dyDescent="0.3">
      <c r="A21" s="272"/>
      <c r="B21" s="272"/>
      <c r="C21" s="272"/>
      <c r="D21" s="220" t="s">
        <v>387</v>
      </c>
      <c r="E21" s="221">
        <v>0</v>
      </c>
      <c r="F21" s="221">
        <v>0</v>
      </c>
      <c r="G21" s="235">
        <v>0</v>
      </c>
      <c r="H21" s="235">
        <v>17</v>
      </c>
      <c r="I21" s="185" t="s">
        <v>571</v>
      </c>
      <c r="J21" s="185" t="s">
        <v>149</v>
      </c>
      <c r="K21" s="185" t="s">
        <v>592</v>
      </c>
      <c r="L21" s="182" t="s">
        <v>593</v>
      </c>
      <c r="M21" s="185" t="s">
        <v>389</v>
      </c>
      <c r="N21" s="185" t="s">
        <v>389</v>
      </c>
      <c r="O21" s="182" t="s">
        <v>594</v>
      </c>
      <c r="P21" s="185">
        <v>0</v>
      </c>
      <c r="Q21" s="186" t="s">
        <v>389</v>
      </c>
      <c r="R21" s="191" t="s">
        <v>387</v>
      </c>
      <c r="S21" s="185">
        <v>2</v>
      </c>
      <c r="T21" s="185">
        <v>3</v>
      </c>
      <c r="U21" s="185">
        <f t="shared" ref="U21:U25" si="5">S21*T21</f>
        <v>6</v>
      </c>
      <c r="V21" s="186" t="str">
        <f>VLOOKUP(U21,BZ253:CA264,2)</f>
        <v>Medio</v>
      </c>
      <c r="W21" s="185">
        <v>25</v>
      </c>
      <c r="X21" s="185">
        <f t="shared" si="2"/>
        <v>150</v>
      </c>
      <c r="Y21" s="185" t="str">
        <f>VLOOKUP(X21,CC254:CF277,2)</f>
        <v>II Corregir y adoptar medidas de control inmediato.  Sin embargo, suspenda actividades si el nivel de consecuencia está por encima de 60.</v>
      </c>
      <c r="Z21" s="185" t="str">
        <f>VLOOKUP(X21,CC254:CG277,3)</f>
        <v>No Aceptable</v>
      </c>
      <c r="AA21" s="185" t="s">
        <v>389</v>
      </c>
      <c r="AB21" s="185" t="s">
        <v>389</v>
      </c>
      <c r="AC21" s="185" t="s">
        <v>389</v>
      </c>
      <c r="AD21" s="185" t="s">
        <v>595</v>
      </c>
      <c r="AE21" s="185" t="s">
        <v>596</v>
      </c>
      <c r="AF21" s="150"/>
      <c r="AG21" s="212"/>
      <c r="AH21" s="212"/>
      <c r="AI21" s="213">
        <v>2</v>
      </c>
      <c r="AJ21" s="214">
        <v>2</v>
      </c>
      <c r="AK21" s="215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217"/>
      <c r="BQ21" s="217"/>
      <c r="BR21" s="217"/>
      <c r="BS21" s="217"/>
      <c r="BT21" s="217"/>
      <c r="BU21" s="217"/>
      <c r="BV21" s="218"/>
      <c r="BW21" s="219"/>
      <c r="BX21" s="219"/>
      <c r="BY21" s="219"/>
      <c r="BZ21" s="219"/>
      <c r="CA21" s="219"/>
      <c r="CB21" s="219"/>
      <c r="CC21" s="219"/>
      <c r="CD21" s="219"/>
      <c r="CE21" s="219"/>
      <c r="CF21" s="219"/>
      <c r="CG21" s="219"/>
      <c r="CH21" s="219"/>
      <c r="CI21" s="219"/>
      <c r="CJ21" s="219"/>
      <c r="CK21" s="219"/>
      <c r="CL21" s="219"/>
      <c r="CM21" s="219"/>
      <c r="CN21" s="219"/>
      <c r="CO21" s="219"/>
      <c r="CP21" s="219"/>
      <c r="CQ21" s="219"/>
      <c r="CR21" s="219"/>
      <c r="CS21" s="219"/>
      <c r="CT21" s="219"/>
      <c r="CU21" s="219"/>
      <c r="CV21" s="219"/>
      <c r="CW21" s="219"/>
      <c r="CX21" s="219"/>
      <c r="CY21" s="219"/>
    </row>
    <row r="22" spans="1:103" s="205" customFormat="1" ht="97.05" customHeight="1" x14ac:dyDescent="0.3">
      <c r="A22" s="272"/>
      <c r="B22" s="272"/>
      <c r="C22" s="272"/>
      <c r="D22" s="210" t="s">
        <v>387</v>
      </c>
      <c r="E22" s="189">
        <v>0</v>
      </c>
      <c r="F22" s="189">
        <v>0</v>
      </c>
      <c r="G22" s="235">
        <v>0</v>
      </c>
      <c r="H22" s="235">
        <v>17</v>
      </c>
      <c r="I22" s="186" t="s">
        <v>597</v>
      </c>
      <c r="J22" s="186" t="s">
        <v>197</v>
      </c>
      <c r="K22" s="211" t="s">
        <v>598</v>
      </c>
      <c r="L22" s="244" t="s">
        <v>400</v>
      </c>
      <c r="M22" s="186" t="s">
        <v>389</v>
      </c>
      <c r="N22" s="186" t="s">
        <v>389</v>
      </c>
      <c r="O22" s="186" t="s">
        <v>401</v>
      </c>
      <c r="P22" s="186">
        <v>0</v>
      </c>
      <c r="Q22" s="186" t="s">
        <v>389</v>
      </c>
      <c r="R22" s="190" t="s">
        <v>387</v>
      </c>
      <c r="S22" s="186">
        <v>2</v>
      </c>
      <c r="T22" s="186">
        <v>4</v>
      </c>
      <c r="U22" s="185">
        <f t="shared" si="5"/>
        <v>8</v>
      </c>
      <c r="V22" s="186" t="str">
        <f>VLOOKUP(U22,BZ254:CA265,2)</f>
        <v>Medio</v>
      </c>
      <c r="W22" s="186">
        <v>25</v>
      </c>
      <c r="X22" s="185">
        <f t="shared" si="2"/>
        <v>200</v>
      </c>
      <c r="Y22" s="185" t="str">
        <f t="shared" ref="Y22:Y27" si="6">VLOOKUP(X22,CC250:CF273,2)</f>
        <v>II Corregir y adoptar medidas de control inmediato.  Sin embargo, suspenda actividades si el nivel de consecuencia está por encima de 60.</v>
      </c>
      <c r="Z22" s="185" t="str">
        <f t="shared" ref="Z22:Z27" si="7">VLOOKUP(X22,CC250:CG273,3)</f>
        <v>No Aceptable</v>
      </c>
      <c r="AA22" s="186" t="s">
        <v>599</v>
      </c>
      <c r="AB22" s="186" t="s">
        <v>389</v>
      </c>
      <c r="AC22" s="186" t="s">
        <v>389</v>
      </c>
      <c r="AD22" s="186" t="s">
        <v>600</v>
      </c>
      <c r="AE22" s="192" t="s">
        <v>402</v>
      </c>
      <c r="AF22" s="151"/>
      <c r="AG22" s="222"/>
      <c r="AH22" s="222"/>
      <c r="AI22" s="154">
        <v>1</v>
      </c>
      <c r="AJ22" s="148">
        <v>1</v>
      </c>
      <c r="AK22" s="20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17"/>
      <c r="BK22" s="217"/>
      <c r="BL22" s="217"/>
      <c r="BM22" s="217"/>
      <c r="BN22" s="217"/>
      <c r="BO22" s="217"/>
      <c r="BP22" s="217"/>
      <c r="BQ22" s="217"/>
      <c r="BR22" s="217"/>
      <c r="BS22" s="217"/>
      <c r="BT22" s="217"/>
      <c r="BU22" s="217"/>
      <c r="BV22" s="218"/>
      <c r="BW22" s="219"/>
      <c r="BX22" s="219"/>
      <c r="BY22" s="219"/>
      <c r="BZ22" s="219"/>
      <c r="CA22" s="219"/>
      <c r="CB22" s="219"/>
      <c r="CC22" s="219"/>
      <c r="CD22" s="219"/>
      <c r="CE22" s="219"/>
      <c r="CF22" s="219"/>
      <c r="CG22" s="219"/>
      <c r="CH22" s="219"/>
      <c r="CI22" s="219"/>
      <c r="CJ22" s="219"/>
      <c r="CK22" s="219"/>
      <c r="CL22" s="219"/>
      <c r="CM22" s="219"/>
      <c r="CN22" s="219"/>
      <c r="CO22" s="219"/>
      <c r="CP22" s="219"/>
      <c r="CQ22" s="219"/>
      <c r="CR22" s="219"/>
      <c r="CS22" s="219"/>
      <c r="CT22" s="219"/>
      <c r="CU22" s="219"/>
      <c r="CV22" s="219"/>
      <c r="CW22" s="219"/>
      <c r="CX22" s="219"/>
      <c r="CY22" s="219"/>
    </row>
    <row r="23" spans="1:103" s="205" customFormat="1" ht="94.95" customHeight="1" x14ac:dyDescent="0.3">
      <c r="A23" s="272"/>
      <c r="B23" s="272"/>
      <c r="C23" s="272"/>
      <c r="D23" s="210" t="s">
        <v>387</v>
      </c>
      <c r="E23" s="189">
        <v>0</v>
      </c>
      <c r="F23" s="189">
        <v>0</v>
      </c>
      <c r="G23" s="235">
        <v>0</v>
      </c>
      <c r="H23" s="235">
        <v>17</v>
      </c>
      <c r="I23" s="192" t="s">
        <v>597</v>
      </c>
      <c r="J23" s="192" t="s">
        <v>601</v>
      </c>
      <c r="K23" s="223" t="s">
        <v>403</v>
      </c>
      <c r="L23" s="211" t="s">
        <v>602</v>
      </c>
      <c r="M23" s="192" t="s">
        <v>389</v>
      </c>
      <c r="N23" s="192" t="s">
        <v>404</v>
      </c>
      <c r="O23" s="186" t="s">
        <v>405</v>
      </c>
      <c r="P23" s="192">
        <v>0</v>
      </c>
      <c r="Q23" s="186" t="s">
        <v>389</v>
      </c>
      <c r="R23" s="193" t="s">
        <v>387</v>
      </c>
      <c r="S23" s="192">
        <v>2</v>
      </c>
      <c r="T23" s="192">
        <v>4</v>
      </c>
      <c r="U23" s="185">
        <f t="shared" si="5"/>
        <v>8</v>
      </c>
      <c r="V23" s="186" t="str">
        <f>VLOOKUP(U23,BZ250:CA261,2)</f>
        <v>Medio</v>
      </c>
      <c r="W23" s="192">
        <v>60</v>
      </c>
      <c r="X23" s="185">
        <f t="shared" si="2"/>
        <v>480</v>
      </c>
      <c r="Y23" s="185" t="str">
        <f t="shared" si="6"/>
        <v>II Corregir y adoptar medidas de control inmediato.  Sin embargo, suspenda actividades si el nivel de consecuencia está por encima de 60.</v>
      </c>
      <c r="Z23" s="185" t="str">
        <f t="shared" si="7"/>
        <v>No Aceptable</v>
      </c>
      <c r="AA23" s="192" t="s">
        <v>389</v>
      </c>
      <c r="AB23" s="186" t="s">
        <v>389</v>
      </c>
      <c r="AC23" s="192" t="s">
        <v>389</v>
      </c>
      <c r="AD23" s="186" t="s">
        <v>603</v>
      </c>
      <c r="AE23" s="192" t="s">
        <v>402</v>
      </c>
      <c r="AF23" s="151" t="s">
        <v>604</v>
      </c>
      <c r="AG23" s="222" t="s">
        <v>406</v>
      </c>
      <c r="AH23" s="222" t="s">
        <v>407</v>
      </c>
      <c r="AI23" s="154">
        <v>1</v>
      </c>
      <c r="AJ23" s="147">
        <v>0</v>
      </c>
      <c r="AK23" s="224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217"/>
      <c r="BQ23" s="217"/>
      <c r="BR23" s="217"/>
      <c r="BS23" s="217"/>
      <c r="BT23" s="217"/>
      <c r="BU23" s="217"/>
      <c r="BV23" s="218"/>
      <c r="BW23" s="219"/>
      <c r="BX23" s="219"/>
      <c r="BY23" s="219"/>
      <c r="BZ23" s="219"/>
      <c r="CA23" s="219"/>
      <c r="CB23" s="219"/>
      <c r="CC23" s="219"/>
      <c r="CD23" s="219"/>
      <c r="CE23" s="219"/>
      <c r="CF23" s="219"/>
      <c r="CG23" s="219"/>
      <c r="CH23" s="219"/>
      <c r="CI23" s="219"/>
      <c r="CJ23" s="219"/>
      <c r="CK23" s="219"/>
      <c r="CL23" s="219"/>
      <c r="CM23" s="219"/>
      <c r="CN23" s="219"/>
      <c r="CO23" s="219"/>
      <c r="CP23" s="219"/>
      <c r="CQ23" s="219"/>
      <c r="CR23" s="219"/>
      <c r="CS23" s="219"/>
      <c r="CT23" s="219"/>
      <c r="CU23" s="219"/>
      <c r="CV23" s="219"/>
      <c r="CW23" s="219"/>
      <c r="CX23" s="219"/>
      <c r="CY23" s="219"/>
    </row>
    <row r="24" spans="1:103" s="205" customFormat="1" ht="89.55" customHeight="1" x14ac:dyDescent="0.3">
      <c r="A24" s="272"/>
      <c r="B24" s="272"/>
      <c r="C24" s="272"/>
      <c r="D24" s="210" t="s">
        <v>387</v>
      </c>
      <c r="E24" s="189">
        <v>0</v>
      </c>
      <c r="F24" s="189">
        <v>0</v>
      </c>
      <c r="G24" s="235">
        <v>0</v>
      </c>
      <c r="H24" s="235">
        <v>17</v>
      </c>
      <c r="I24" s="192" t="s">
        <v>597</v>
      </c>
      <c r="J24" s="192" t="s">
        <v>195</v>
      </c>
      <c r="K24" s="223" t="s">
        <v>408</v>
      </c>
      <c r="L24" s="211" t="s">
        <v>400</v>
      </c>
      <c r="M24" s="192" t="s">
        <v>389</v>
      </c>
      <c r="N24" s="186" t="s">
        <v>389</v>
      </c>
      <c r="O24" s="186" t="s">
        <v>409</v>
      </c>
      <c r="P24" s="192">
        <v>0</v>
      </c>
      <c r="Q24" s="186" t="s">
        <v>389</v>
      </c>
      <c r="R24" s="193" t="s">
        <v>387</v>
      </c>
      <c r="S24" s="192">
        <v>2</v>
      </c>
      <c r="T24" s="192">
        <v>4</v>
      </c>
      <c r="U24" s="185">
        <f t="shared" si="5"/>
        <v>8</v>
      </c>
      <c r="V24" s="186" t="str">
        <f>VLOOKUP(U24,BZ251:CA262,2)</f>
        <v>Medio</v>
      </c>
      <c r="W24" s="192">
        <v>25</v>
      </c>
      <c r="X24" s="185">
        <f t="shared" si="2"/>
        <v>200</v>
      </c>
      <c r="Y24" s="185" t="str">
        <f t="shared" si="6"/>
        <v>II Corregir y adoptar medidas de control inmediato.  Sin embargo, suspenda actividades si el nivel de consecuencia está por encima de 60.</v>
      </c>
      <c r="Z24" s="185" t="str">
        <f t="shared" si="7"/>
        <v>No Aceptable</v>
      </c>
      <c r="AA24" s="192" t="s">
        <v>389</v>
      </c>
      <c r="AB24" s="186" t="s">
        <v>389</v>
      </c>
      <c r="AC24" s="192" t="s">
        <v>389</v>
      </c>
      <c r="AD24" s="186" t="s">
        <v>603</v>
      </c>
      <c r="AE24" s="192" t="s">
        <v>402</v>
      </c>
      <c r="AF24" s="151" t="s">
        <v>604</v>
      </c>
      <c r="AG24" s="222" t="s">
        <v>406</v>
      </c>
      <c r="AH24" s="222" t="s">
        <v>407</v>
      </c>
      <c r="AI24" s="154">
        <v>1</v>
      </c>
      <c r="AJ24" s="147">
        <v>0</v>
      </c>
      <c r="AK24" s="224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217"/>
      <c r="BQ24" s="217"/>
      <c r="BR24" s="217"/>
      <c r="BS24" s="217"/>
      <c r="BT24" s="217"/>
      <c r="BU24" s="217"/>
      <c r="BV24" s="218"/>
      <c r="BW24" s="219"/>
      <c r="BX24" s="219"/>
      <c r="BY24" s="219"/>
      <c r="BZ24" s="219"/>
      <c r="CA24" s="219"/>
      <c r="CB24" s="219"/>
      <c r="CC24" s="219"/>
      <c r="CD24" s="219"/>
      <c r="CE24" s="219"/>
      <c r="CF24" s="219"/>
      <c r="CG24" s="219"/>
      <c r="CH24" s="219"/>
      <c r="CI24" s="219"/>
      <c r="CJ24" s="219"/>
      <c r="CK24" s="219"/>
      <c r="CL24" s="219"/>
      <c r="CM24" s="219"/>
      <c r="CN24" s="219"/>
      <c r="CO24" s="219"/>
      <c r="CP24" s="219"/>
      <c r="CQ24" s="219"/>
      <c r="CR24" s="219"/>
      <c r="CS24" s="219"/>
      <c r="CT24" s="219"/>
      <c r="CU24" s="219"/>
      <c r="CV24" s="219"/>
      <c r="CW24" s="219"/>
      <c r="CX24" s="219"/>
      <c r="CY24" s="219"/>
    </row>
    <row r="25" spans="1:103" s="205" customFormat="1" ht="121.95" customHeight="1" x14ac:dyDescent="0.3">
      <c r="A25" s="272"/>
      <c r="B25" s="272"/>
      <c r="C25" s="272"/>
      <c r="D25" s="225" t="s">
        <v>387</v>
      </c>
      <c r="E25" s="226">
        <v>0</v>
      </c>
      <c r="F25" s="226">
        <v>0</v>
      </c>
      <c r="G25" s="235">
        <v>0</v>
      </c>
      <c r="H25" s="235">
        <v>17</v>
      </c>
      <c r="I25" s="192" t="s">
        <v>135</v>
      </c>
      <c r="J25" s="192" t="s">
        <v>388</v>
      </c>
      <c r="K25" s="186" t="s">
        <v>605</v>
      </c>
      <c r="L25" s="186" t="s">
        <v>410</v>
      </c>
      <c r="M25" s="186" t="s">
        <v>389</v>
      </c>
      <c r="N25" s="186" t="s">
        <v>606</v>
      </c>
      <c r="O25" s="186" t="s">
        <v>411</v>
      </c>
      <c r="P25" s="192">
        <v>0</v>
      </c>
      <c r="Q25" s="186" t="s">
        <v>389</v>
      </c>
      <c r="R25" s="193" t="s">
        <v>387</v>
      </c>
      <c r="S25" s="192">
        <v>2</v>
      </c>
      <c r="T25" s="192">
        <v>4</v>
      </c>
      <c r="U25" s="185">
        <f t="shared" si="5"/>
        <v>8</v>
      </c>
      <c r="V25" s="186" t="str">
        <f>VLOOKUP(U25,BZ252:CA263,2)</f>
        <v>Medio</v>
      </c>
      <c r="W25" s="192">
        <v>10</v>
      </c>
      <c r="X25" s="185">
        <f t="shared" si="2"/>
        <v>80</v>
      </c>
      <c r="Y25" s="185" t="str">
        <f t="shared" si="6"/>
        <v xml:space="preserve">III Mejorar si es posible.  Sería conveniente justificar la intervención y su rentabilidad. </v>
      </c>
      <c r="Z25" s="185" t="str">
        <f t="shared" si="7"/>
        <v>Aceptable</v>
      </c>
      <c r="AA25" s="192" t="s">
        <v>389</v>
      </c>
      <c r="AB25" s="192" t="s">
        <v>389</v>
      </c>
      <c r="AC25" s="192" t="s">
        <v>389</v>
      </c>
      <c r="AD25" s="186" t="s">
        <v>607</v>
      </c>
      <c r="AE25" s="186" t="s">
        <v>412</v>
      </c>
      <c r="AF25" s="151"/>
      <c r="AG25" s="222"/>
      <c r="AH25" s="222"/>
      <c r="AI25" s="154">
        <v>1</v>
      </c>
      <c r="AJ25" s="147"/>
      <c r="AK25" s="224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217"/>
      <c r="BQ25" s="217"/>
      <c r="BR25" s="217"/>
      <c r="BS25" s="217"/>
      <c r="BT25" s="217"/>
      <c r="BU25" s="217"/>
      <c r="BV25" s="218"/>
      <c r="BW25" s="219"/>
      <c r="BX25" s="219"/>
      <c r="BY25" s="219"/>
      <c r="BZ25" s="219"/>
      <c r="CA25" s="219"/>
      <c r="CB25" s="219"/>
      <c r="CC25" s="219"/>
      <c r="CD25" s="219"/>
      <c r="CE25" s="219"/>
      <c r="CF25" s="219"/>
      <c r="CG25" s="219"/>
      <c r="CH25" s="219"/>
      <c r="CI25" s="219"/>
      <c r="CJ25" s="219"/>
      <c r="CK25" s="219"/>
      <c r="CL25" s="219"/>
      <c r="CM25" s="219"/>
      <c r="CN25" s="219"/>
      <c r="CO25" s="219"/>
      <c r="CP25" s="219"/>
      <c r="CQ25" s="219"/>
      <c r="CR25" s="219"/>
      <c r="CS25" s="219"/>
      <c r="CT25" s="219"/>
      <c r="CU25" s="219"/>
      <c r="CV25" s="219"/>
      <c r="CW25" s="219"/>
      <c r="CX25" s="219"/>
      <c r="CY25" s="219"/>
    </row>
    <row r="26" spans="1:103" s="205" customFormat="1" ht="144" customHeight="1" x14ac:dyDescent="0.3">
      <c r="A26" s="272"/>
      <c r="B26" s="272"/>
      <c r="C26" s="272"/>
      <c r="D26" s="225" t="s">
        <v>387</v>
      </c>
      <c r="E26" s="226">
        <v>0</v>
      </c>
      <c r="F26" s="226">
        <v>0</v>
      </c>
      <c r="G26" s="235">
        <v>0</v>
      </c>
      <c r="H26" s="235">
        <v>17</v>
      </c>
      <c r="I26" s="192" t="s">
        <v>135</v>
      </c>
      <c r="J26" s="245" t="s">
        <v>219</v>
      </c>
      <c r="K26" s="186" t="s">
        <v>608</v>
      </c>
      <c r="L26" s="186" t="s">
        <v>392</v>
      </c>
      <c r="M26" s="186" t="s">
        <v>413</v>
      </c>
      <c r="N26" s="186" t="s">
        <v>542</v>
      </c>
      <c r="O26" s="186" t="s">
        <v>415</v>
      </c>
      <c r="P26" s="192">
        <v>0</v>
      </c>
      <c r="Q26" s="186" t="s">
        <v>389</v>
      </c>
      <c r="R26" s="193" t="s">
        <v>387</v>
      </c>
      <c r="S26" s="192">
        <v>2</v>
      </c>
      <c r="T26" s="192">
        <v>4</v>
      </c>
      <c r="U26" s="185">
        <v>8</v>
      </c>
      <c r="V26" s="186" t="str">
        <f>VLOOKUP(U26,BZ253:CA264,2)</f>
        <v>Medio</v>
      </c>
      <c r="W26" s="192">
        <v>60</v>
      </c>
      <c r="X26" s="185">
        <f t="shared" si="2"/>
        <v>480</v>
      </c>
      <c r="Y26" s="185" t="str">
        <f t="shared" si="6"/>
        <v>II Corregir y adoptar medidas de control inmediato.  Sin embargo, suspenda actividades si el nivel de consecuencia está por encima de 60.</v>
      </c>
      <c r="Z26" s="185" t="str">
        <f t="shared" si="7"/>
        <v>No Aceptable</v>
      </c>
      <c r="AA26" s="192" t="s">
        <v>389</v>
      </c>
      <c r="AB26" s="192" t="s">
        <v>389</v>
      </c>
      <c r="AC26" s="238" t="s">
        <v>536</v>
      </c>
      <c r="AD26" s="186" t="s">
        <v>543</v>
      </c>
      <c r="AE26" s="186" t="s">
        <v>609</v>
      </c>
      <c r="AF26" s="156"/>
      <c r="AG26" s="222" t="s">
        <v>406</v>
      </c>
      <c r="AH26" s="227"/>
      <c r="AI26" s="228">
        <v>3</v>
      </c>
      <c r="AJ26" s="147"/>
      <c r="AK26" s="224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17"/>
      <c r="BJ26" s="217"/>
      <c r="BK26" s="217"/>
      <c r="BL26" s="217"/>
      <c r="BM26" s="217"/>
      <c r="BN26" s="217"/>
      <c r="BO26" s="217"/>
      <c r="BP26" s="217"/>
      <c r="BQ26" s="217"/>
      <c r="BR26" s="217"/>
      <c r="BS26" s="217"/>
      <c r="BT26" s="217"/>
      <c r="BU26" s="217"/>
      <c r="BV26" s="218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N26" s="219"/>
      <c r="CO26" s="219"/>
      <c r="CP26" s="219"/>
      <c r="CQ26" s="219"/>
      <c r="CR26" s="219"/>
      <c r="CS26" s="219"/>
      <c r="CT26" s="219"/>
      <c r="CU26" s="219"/>
      <c r="CV26" s="219"/>
      <c r="CW26" s="219"/>
      <c r="CX26" s="219"/>
      <c r="CY26" s="219"/>
    </row>
    <row r="27" spans="1:103" s="205" customFormat="1" ht="100.95" customHeight="1" x14ac:dyDescent="0.3">
      <c r="A27" s="272"/>
      <c r="B27" s="272"/>
      <c r="C27" s="272"/>
      <c r="D27" s="225" t="s">
        <v>387</v>
      </c>
      <c r="E27" s="226">
        <v>0</v>
      </c>
      <c r="F27" s="226">
        <v>0</v>
      </c>
      <c r="G27" s="192">
        <v>0</v>
      </c>
      <c r="H27" s="235">
        <v>17</v>
      </c>
      <c r="I27" s="192" t="s">
        <v>135</v>
      </c>
      <c r="J27" s="192" t="s">
        <v>610</v>
      </c>
      <c r="K27" s="186" t="s">
        <v>611</v>
      </c>
      <c r="L27" s="186" t="s">
        <v>612</v>
      </c>
      <c r="M27" s="186" t="s">
        <v>389</v>
      </c>
      <c r="N27" s="186" t="s">
        <v>613</v>
      </c>
      <c r="O27" s="186" t="s">
        <v>614</v>
      </c>
      <c r="P27" s="192">
        <v>0</v>
      </c>
      <c r="Q27" s="186" t="s">
        <v>389</v>
      </c>
      <c r="R27" s="193" t="s">
        <v>387</v>
      </c>
      <c r="S27" s="192">
        <v>2</v>
      </c>
      <c r="T27" s="192">
        <v>3</v>
      </c>
      <c r="U27" s="185">
        <f t="shared" ref="U27:U30" si="8">S27*T27</f>
        <v>6</v>
      </c>
      <c r="V27" s="186" t="str">
        <f>VLOOKUP(U27,BZ254:CA265,2)</f>
        <v>Medio</v>
      </c>
      <c r="W27" s="192">
        <v>25</v>
      </c>
      <c r="X27" s="185">
        <f t="shared" si="2"/>
        <v>150</v>
      </c>
      <c r="Y27" s="185" t="str">
        <f t="shared" si="6"/>
        <v>II Corregir y adoptar medidas de control inmediato.  Sin embargo, suspenda actividades si el nivel de consecuencia está por encima de 60.</v>
      </c>
      <c r="Z27" s="185" t="str">
        <f t="shared" si="7"/>
        <v>No Aceptable</v>
      </c>
      <c r="AA27" s="192" t="s">
        <v>389</v>
      </c>
      <c r="AB27" s="192" t="s">
        <v>389</v>
      </c>
      <c r="AC27" s="192" t="s">
        <v>389</v>
      </c>
      <c r="AD27" s="186" t="s">
        <v>615</v>
      </c>
      <c r="AE27" s="186" t="s">
        <v>417</v>
      </c>
      <c r="AF27" s="156"/>
      <c r="AG27" s="227"/>
      <c r="AH27" s="227"/>
      <c r="AI27" s="228">
        <v>1</v>
      </c>
      <c r="AJ27" s="147"/>
      <c r="AK27" s="224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17"/>
      <c r="BJ27" s="217"/>
      <c r="BK27" s="217"/>
      <c r="BL27" s="217"/>
      <c r="BM27" s="217"/>
      <c r="BN27" s="217"/>
      <c r="BO27" s="217"/>
      <c r="BP27" s="217"/>
      <c r="BQ27" s="217"/>
      <c r="BR27" s="217"/>
      <c r="BS27" s="217"/>
      <c r="BT27" s="217"/>
      <c r="BU27" s="217"/>
      <c r="BV27" s="218"/>
      <c r="BW27" s="219"/>
      <c r="BX27" s="219"/>
      <c r="BY27" s="219"/>
      <c r="BZ27" s="219"/>
      <c r="CA27" s="219"/>
      <c r="CB27" s="219"/>
      <c r="CC27" s="219"/>
      <c r="CD27" s="219"/>
      <c r="CE27" s="219"/>
      <c r="CF27" s="219"/>
      <c r="CG27" s="219"/>
      <c r="CH27" s="219"/>
      <c r="CI27" s="219"/>
      <c r="CJ27" s="219"/>
      <c r="CK27" s="219"/>
      <c r="CL27" s="219"/>
      <c r="CM27" s="219"/>
      <c r="CN27" s="219"/>
      <c r="CO27" s="219"/>
      <c r="CP27" s="219"/>
      <c r="CQ27" s="219"/>
      <c r="CR27" s="219"/>
      <c r="CS27" s="219"/>
      <c r="CT27" s="219"/>
      <c r="CU27" s="219"/>
      <c r="CV27" s="219"/>
      <c r="CW27" s="219"/>
      <c r="CX27" s="219"/>
      <c r="CY27" s="219"/>
    </row>
    <row r="28" spans="1:103" s="205" customFormat="1" ht="101.55" customHeight="1" x14ac:dyDescent="0.3">
      <c r="A28" s="272"/>
      <c r="B28" s="272"/>
      <c r="C28" s="272"/>
      <c r="D28" s="225" t="s">
        <v>387</v>
      </c>
      <c r="E28" s="226">
        <v>0</v>
      </c>
      <c r="F28" s="226">
        <v>0</v>
      </c>
      <c r="G28" s="192">
        <v>0</v>
      </c>
      <c r="H28" s="235">
        <v>17</v>
      </c>
      <c r="I28" s="192" t="s">
        <v>135</v>
      </c>
      <c r="J28" s="192" t="s">
        <v>418</v>
      </c>
      <c r="K28" s="192" t="s">
        <v>616</v>
      </c>
      <c r="L28" s="192" t="s">
        <v>419</v>
      </c>
      <c r="M28" s="192" t="s">
        <v>389</v>
      </c>
      <c r="N28" s="186" t="s">
        <v>389</v>
      </c>
      <c r="O28" s="192" t="s">
        <v>617</v>
      </c>
      <c r="P28" s="192">
        <v>0</v>
      </c>
      <c r="Q28" s="186" t="s">
        <v>389</v>
      </c>
      <c r="R28" s="193" t="s">
        <v>387</v>
      </c>
      <c r="S28" s="192">
        <v>2</v>
      </c>
      <c r="T28" s="192">
        <v>3</v>
      </c>
      <c r="U28" s="185">
        <f t="shared" si="8"/>
        <v>6</v>
      </c>
      <c r="V28" s="186" t="str">
        <f>VLOOKUP(U28,BZ245:CA256,2)</f>
        <v>Medio</v>
      </c>
      <c r="W28" s="192">
        <v>25</v>
      </c>
      <c r="X28" s="185">
        <f t="shared" si="2"/>
        <v>150</v>
      </c>
      <c r="Y28" s="185" t="str">
        <f>VLOOKUP(X28,CC246:CF269,2)</f>
        <v>II Corregir y adoptar medidas de control inmediato.  Sin embargo, suspenda actividades si el nivel de consecuencia está por encima de 60.</v>
      </c>
      <c r="Z28" s="185" t="str">
        <f>VLOOKUP(X28,CC246:CG269,3)</f>
        <v>No Aceptable</v>
      </c>
      <c r="AA28" s="192" t="s">
        <v>389</v>
      </c>
      <c r="AB28" s="192" t="s">
        <v>389</v>
      </c>
      <c r="AC28" s="192" t="s">
        <v>389</v>
      </c>
      <c r="AD28" s="192" t="s">
        <v>618</v>
      </c>
      <c r="AE28" s="192" t="s">
        <v>402</v>
      </c>
      <c r="AF28" s="156"/>
      <c r="AG28" s="227"/>
      <c r="AH28" s="227"/>
      <c r="AI28" s="228">
        <v>1</v>
      </c>
      <c r="AJ28" s="147"/>
      <c r="AK28" s="224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17"/>
      <c r="BJ28" s="217"/>
      <c r="BK28" s="217"/>
      <c r="BL28" s="217"/>
      <c r="BM28" s="217"/>
      <c r="BN28" s="217"/>
      <c r="BO28" s="217"/>
      <c r="BP28" s="217"/>
      <c r="BQ28" s="217"/>
      <c r="BR28" s="217"/>
      <c r="BS28" s="217"/>
      <c r="BT28" s="217"/>
      <c r="BU28" s="217"/>
      <c r="BV28" s="218"/>
      <c r="BW28" s="219"/>
      <c r="BX28" s="219"/>
      <c r="BY28" s="219"/>
      <c r="BZ28" s="219"/>
      <c r="CA28" s="219"/>
      <c r="CB28" s="219"/>
      <c r="CC28" s="219"/>
      <c r="CD28" s="219"/>
      <c r="CE28" s="219"/>
      <c r="CF28" s="219"/>
      <c r="CG28" s="219"/>
      <c r="CH28" s="219"/>
      <c r="CI28" s="219"/>
      <c r="CJ28" s="219"/>
      <c r="CK28" s="219"/>
      <c r="CL28" s="219"/>
      <c r="CM28" s="219"/>
      <c r="CN28" s="219"/>
      <c r="CO28" s="219"/>
      <c r="CP28" s="219"/>
      <c r="CQ28" s="219"/>
      <c r="CR28" s="219"/>
      <c r="CS28" s="219"/>
      <c r="CT28" s="219"/>
      <c r="CU28" s="219"/>
      <c r="CV28" s="219"/>
      <c r="CW28" s="219"/>
      <c r="CX28" s="219"/>
      <c r="CY28" s="219"/>
    </row>
    <row r="29" spans="1:103" s="205" customFormat="1" ht="261" customHeight="1" x14ac:dyDescent="0.3">
      <c r="A29" s="280"/>
      <c r="B29" s="280"/>
      <c r="C29" s="280"/>
      <c r="D29" s="225" t="s">
        <v>387</v>
      </c>
      <c r="E29" s="226">
        <v>0</v>
      </c>
      <c r="F29" s="226">
        <v>0</v>
      </c>
      <c r="G29" s="243">
        <v>0</v>
      </c>
      <c r="H29" s="235">
        <v>17</v>
      </c>
      <c r="I29" s="243" t="s">
        <v>135</v>
      </c>
      <c r="J29" s="246" t="s">
        <v>225</v>
      </c>
      <c r="K29" s="246" t="s">
        <v>619</v>
      </c>
      <c r="L29" s="246" t="s">
        <v>544</v>
      </c>
      <c r="M29" s="243" t="s">
        <v>389</v>
      </c>
      <c r="N29" s="186" t="s">
        <v>389</v>
      </c>
      <c r="O29" s="246" t="s">
        <v>545</v>
      </c>
      <c r="P29" s="243">
        <v>0</v>
      </c>
      <c r="Q29" s="186" t="s">
        <v>389</v>
      </c>
      <c r="R29" s="193" t="s">
        <v>387</v>
      </c>
      <c r="S29" s="246">
        <v>6</v>
      </c>
      <c r="T29" s="246">
        <v>3</v>
      </c>
      <c r="U29" s="185">
        <f t="shared" si="8"/>
        <v>18</v>
      </c>
      <c r="V29" s="186" t="str">
        <f>VLOOKUP(U29,BZ246:CA257,2)</f>
        <v>Medio</v>
      </c>
      <c r="W29" s="246">
        <v>25</v>
      </c>
      <c r="X29" s="185">
        <f t="shared" si="2"/>
        <v>450</v>
      </c>
      <c r="Y29" s="185" t="str">
        <f>VLOOKUP(X29,CC247:CF270,2)</f>
        <v>II Corregir y adoptar medidas de control inmediato.  Sin embargo, suspenda actividades si el nivel de consecuencia está por encima de 60.</v>
      </c>
      <c r="Z29" s="185" t="str">
        <f>VLOOKUP(X29,CC247:CG270,3)</f>
        <v>No Aceptable</v>
      </c>
      <c r="AA29" s="243" t="s">
        <v>389</v>
      </c>
      <c r="AB29" s="243" t="s">
        <v>389</v>
      </c>
      <c r="AC29" s="246" t="s">
        <v>620</v>
      </c>
      <c r="AD29" s="246" t="s">
        <v>621</v>
      </c>
      <c r="AE29" s="243" t="s">
        <v>622</v>
      </c>
      <c r="AF29" s="248"/>
      <c r="AG29" s="227"/>
      <c r="AH29" s="227"/>
      <c r="AI29" s="249"/>
      <c r="AJ29" s="250"/>
      <c r="AK29" s="224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7"/>
      <c r="BL29" s="217"/>
      <c r="BM29" s="217"/>
      <c r="BN29" s="217"/>
      <c r="BO29" s="217"/>
      <c r="BP29" s="217"/>
      <c r="BQ29" s="217"/>
      <c r="BR29" s="217"/>
      <c r="BS29" s="217"/>
      <c r="BT29" s="217"/>
      <c r="BU29" s="217"/>
      <c r="BV29" s="218"/>
      <c r="BW29" s="219"/>
      <c r="BX29" s="219"/>
      <c r="BY29" s="219"/>
      <c r="BZ29" s="219"/>
      <c r="CA29" s="219"/>
      <c r="CB29" s="219"/>
      <c r="CC29" s="219"/>
      <c r="CD29" s="219"/>
      <c r="CE29" s="219"/>
      <c r="CF29" s="219"/>
      <c r="CG29" s="219"/>
      <c r="CH29" s="219"/>
      <c r="CI29" s="219"/>
      <c r="CJ29" s="219"/>
      <c r="CK29" s="219"/>
      <c r="CL29" s="219"/>
      <c r="CM29" s="219"/>
      <c r="CN29" s="219"/>
      <c r="CO29" s="219"/>
      <c r="CP29" s="219"/>
      <c r="CQ29" s="219"/>
      <c r="CR29" s="219"/>
      <c r="CS29" s="219"/>
      <c r="CT29" s="219"/>
      <c r="CU29" s="219"/>
      <c r="CV29" s="219"/>
      <c r="CW29" s="219"/>
      <c r="CX29" s="219"/>
      <c r="CY29" s="219"/>
    </row>
    <row r="30" spans="1:103" s="205" customFormat="1" ht="74.25" customHeight="1" x14ac:dyDescent="0.3">
      <c r="A30" s="273"/>
      <c r="B30" s="273"/>
      <c r="C30" s="273"/>
      <c r="D30" s="225" t="s">
        <v>387</v>
      </c>
      <c r="E30" s="226">
        <v>0</v>
      </c>
      <c r="F30" s="226">
        <v>0</v>
      </c>
      <c r="G30" s="192">
        <v>0</v>
      </c>
      <c r="H30" s="235">
        <v>17</v>
      </c>
      <c r="I30" s="192" t="s">
        <v>125</v>
      </c>
      <c r="J30" s="192" t="s">
        <v>191</v>
      </c>
      <c r="K30" s="192" t="s">
        <v>623</v>
      </c>
      <c r="L30" s="192" t="s">
        <v>624</v>
      </c>
      <c r="M30" s="192" t="s">
        <v>389</v>
      </c>
      <c r="N30" s="192" t="s">
        <v>389</v>
      </c>
      <c r="O30" s="192" t="s">
        <v>546</v>
      </c>
      <c r="P30" s="192">
        <v>0</v>
      </c>
      <c r="Q30" s="186" t="s">
        <v>389</v>
      </c>
      <c r="R30" s="193" t="s">
        <v>387</v>
      </c>
      <c r="S30" s="192">
        <v>2</v>
      </c>
      <c r="T30" s="192">
        <v>3</v>
      </c>
      <c r="U30" s="188">
        <f t="shared" si="8"/>
        <v>6</v>
      </c>
      <c r="V30" s="192" t="str">
        <f t="shared" ref="V30:V40" si="9">VLOOKUP(U30,BZ246:CA257,2)</f>
        <v>Medio</v>
      </c>
      <c r="W30" s="192">
        <v>10</v>
      </c>
      <c r="X30" s="188">
        <f t="shared" si="2"/>
        <v>60</v>
      </c>
      <c r="Y30" s="188" t="str">
        <f t="shared" ref="Y30:Y40" si="10">VLOOKUP(X30,CC247:CF270,2)</f>
        <v xml:space="preserve">III Mejorar si es posible.  Sería conveniente justificar la intervención y su rentabilidad. </v>
      </c>
      <c r="Z30" s="188" t="str">
        <f t="shared" ref="Z30:Z40" si="11">VLOOKUP(X30,CC247:CG270,3)</f>
        <v>Aceptable</v>
      </c>
      <c r="AA30" s="192" t="s">
        <v>389</v>
      </c>
      <c r="AB30" s="192" t="s">
        <v>389</v>
      </c>
      <c r="AC30" s="192" t="s">
        <v>389</v>
      </c>
      <c r="AD30" s="192" t="s">
        <v>625</v>
      </c>
      <c r="AE30" s="192" t="s">
        <v>389</v>
      </c>
      <c r="AF30" s="156"/>
      <c r="AG30" s="227"/>
      <c r="AH30" s="227"/>
      <c r="AI30" s="228"/>
      <c r="AJ30" s="147"/>
      <c r="AK30" s="224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8"/>
      <c r="BW30" s="219"/>
      <c r="BX30" s="219"/>
      <c r="BY30" s="219"/>
      <c r="BZ30" s="219"/>
      <c r="CA30" s="219"/>
      <c r="CB30" s="219"/>
      <c r="CC30" s="219"/>
      <c r="CD30" s="219"/>
      <c r="CE30" s="219"/>
      <c r="CF30" s="219"/>
      <c r="CG30" s="219"/>
      <c r="CH30" s="219"/>
      <c r="CI30" s="219"/>
      <c r="CJ30" s="219"/>
      <c r="CK30" s="219"/>
      <c r="CL30" s="219"/>
      <c r="CM30" s="219"/>
      <c r="CN30" s="219"/>
      <c r="CO30" s="219"/>
      <c r="CP30" s="219"/>
      <c r="CQ30" s="219"/>
      <c r="CR30" s="219"/>
      <c r="CS30" s="219"/>
      <c r="CT30" s="219"/>
      <c r="CU30" s="219"/>
      <c r="CV30" s="219"/>
      <c r="CW30" s="219"/>
      <c r="CX30" s="219"/>
      <c r="CY30" s="219"/>
    </row>
    <row r="31" spans="1:103" s="205" customFormat="1" ht="74.25" customHeight="1" x14ac:dyDescent="0.3">
      <c r="A31" s="281" t="s">
        <v>421</v>
      </c>
      <c r="B31" s="274" t="s">
        <v>422</v>
      </c>
      <c r="C31" s="274" t="s">
        <v>626</v>
      </c>
      <c r="D31" s="210" t="s">
        <v>387</v>
      </c>
      <c r="E31" s="189">
        <v>0</v>
      </c>
      <c r="F31" s="236">
        <v>0</v>
      </c>
      <c r="G31" s="235">
        <v>0</v>
      </c>
      <c r="H31" s="235">
        <v>3</v>
      </c>
      <c r="I31" s="232" t="s">
        <v>585</v>
      </c>
      <c r="J31" s="186" t="s">
        <v>111</v>
      </c>
      <c r="K31" s="186" t="s">
        <v>586</v>
      </c>
      <c r="L31" s="211" t="s">
        <v>539</v>
      </c>
      <c r="M31" s="186" t="s">
        <v>389</v>
      </c>
      <c r="N31" s="186" t="s">
        <v>540</v>
      </c>
      <c r="O31" s="186" t="s">
        <v>587</v>
      </c>
      <c r="P31" s="186">
        <v>0</v>
      </c>
      <c r="Q31" s="186" t="s">
        <v>389</v>
      </c>
      <c r="R31" s="190" t="s">
        <v>387</v>
      </c>
      <c r="S31" s="186">
        <v>2</v>
      </c>
      <c r="T31" s="186">
        <v>2</v>
      </c>
      <c r="U31" s="186">
        <f>S31*T31</f>
        <v>4</v>
      </c>
      <c r="V31" s="243" t="str">
        <f t="shared" si="9"/>
        <v>Bajo</v>
      </c>
      <c r="W31" s="186">
        <v>25</v>
      </c>
      <c r="X31" s="251">
        <f t="shared" ref="X31:X32" si="12">+U31*W31</f>
        <v>100</v>
      </c>
      <c r="Y31" s="240" t="str">
        <f t="shared" si="10"/>
        <v xml:space="preserve">III Mejorar si es posible.  Sería conveniente justificar la intervención y su rentabilidad. </v>
      </c>
      <c r="Z31" s="240" t="str">
        <f t="shared" si="11"/>
        <v>Aceptable</v>
      </c>
      <c r="AA31" s="232" t="s">
        <v>389</v>
      </c>
      <c r="AB31" s="186" t="s">
        <v>389</v>
      </c>
      <c r="AC31" s="186" t="s">
        <v>389</v>
      </c>
      <c r="AD31" s="186" t="s">
        <v>588</v>
      </c>
      <c r="AE31" s="186" t="s">
        <v>398</v>
      </c>
      <c r="AF31" s="151"/>
      <c r="AG31" s="151"/>
      <c r="AH31" s="151"/>
      <c r="AI31" s="154">
        <v>1</v>
      </c>
      <c r="AJ31" s="148">
        <v>1</v>
      </c>
      <c r="AK31" s="20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8"/>
      <c r="BW31" s="219"/>
      <c r="BX31" s="219"/>
      <c r="BY31" s="219"/>
      <c r="BZ31" s="219"/>
      <c r="CA31" s="219"/>
      <c r="CB31" s="219"/>
      <c r="CC31" s="219"/>
      <c r="CD31" s="219"/>
      <c r="CE31" s="219"/>
      <c r="CF31" s="219"/>
      <c r="CG31" s="219"/>
      <c r="CH31" s="219"/>
      <c r="CI31" s="219"/>
      <c r="CJ31" s="219"/>
      <c r="CK31" s="219"/>
      <c r="CL31" s="219"/>
      <c r="CM31" s="219"/>
      <c r="CN31" s="219"/>
      <c r="CO31" s="219"/>
      <c r="CP31" s="219"/>
      <c r="CQ31" s="219"/>
      <c r="CR31" s="219"/>
      <c r="CS31" s="219"/>
      <c r="CT31" s="219"/>
      <c r="CU31" s="219"/>
      <c r="CV31" s="219"/>
      <c r="CW31" s="219"/>
      <c r="CX31" s="219"/>
      <c r="CY31" s="219"/>
    </row>
    <row r="32" spans="1:103" s="205" customFormat="1" ht="74.25" customHeight="1" x14ac:dyDescent="0.3">
      <c r="A32" s="272"/>
      <c r="B32" s="272"/>
      <c r="C32" s="272"/>
      <c r="D32" s="220" t="s">
        <v>387</v>
      </c>
      <c r="E32" s="221">
        <v>0</v>
      </c>
      <c r="F32" s="221">
        <v>0</v>
      </c>
      <c r="G32" s="235">
        <v>0</v>
      </c>
      <c r="H32" s="235">
        <v>3</v>
      </c>
      <c r="I32" s="234" t="s">
        <v>566</v>
      </c>
      <c r="J32" s="185" t="s">
        <v>179</v>
      </c>
      <c r="K32" s="186" t="s">
        <v>399</v>
      </c>
      <c r="L32" s="182" t="s">
        <v>589</v>
      </c>
      <c r="M32" s="185" t="s">
        <v>389</v>
      </c>
      <c r="N32" s="185" t="s">
        <v>590</v>
      </c>
      <c r="O32" s="185" t="s">
        <v>541</v>
      </c>
      <c r="P32" s="185">
        <v>0</v>
      </c>
      <c r="Q32" s="186" t="s">
        <v>389</v>
      </c>
      <c r="R32" s="191" t="s">
        <v>387</v>
      </c>
      <c r="S32" s="185">
        <v>2</v>
      </c>
      <c r="T32" s="185">
        <v>3</v>
      </c>
      <c r="U32" s="185">
        <f>SUM(S32*T32)</f>
        <v>6</v>
      </c>
      <c r="V32" s="243" t="str">
        <f t="shared" si="9"/>
        <v>Medio</v>
      </c>
      <c r="W32" s="185">
        <v>10</v>
      </c>
      <c r="X32" s="231">
        <f t="shared" si="12"/>
        <v>60</v>
      </c>
      <c r="Y32" s="240" t="str">
        <f t="shared" si="10"/>
        <v xml:space="preserve">III Mejorar si es posible.  Sería conveniente justificar la intervención y su rentabilidad. </v>
      </c>
      <c r="Z32" s="240" t="str">
        <f t="shared" si="11"/>
        <v>Aceptable</v>
      </c>
      <c r="AA32" s="234" t="s">
        <v>389</v>
      </c>
      <c r="AB32" s="185" t="s">
        <v>389</v>
      </c>
      <c r="AC32" s="185" t="s">
        <v>389</v>
      </c>
      <c r="AD32" s="185" t="s">
        <v>591</v>
      </c>
      <c r="AE32" s="185" t="s">
        <v>398</v>
      </c>
      <c r="AF32" s="150"/>
      <c r="AG32" s="212"/>
      <c r="AH32" s="212"/>
      <c r="AI32" s="213">
        <v>2</v>
      </c>
      <c r="AJ32" s="214">
        <v>2</v>
      </c>
      <c r="AK32" s="215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8"/>
      <c r="BW32" s="219"/>
      <c r="BX32" s="219"/>
      <c r="BY32" s="219"/>
      <c r="BZ32" s="219"/>
      <c r="CA32" s="219"/>
      <c r="CB32" s="219"/>
      <c r="CC32" s="219"/>
      <c r="CD32" s="219"/>
      <c r="CE32" s="219"/>
      <c r="CF32" s="219"/>
      <c r="CG32" s="219"/>
      <c r="CH32" s="219"/>
      <c r="CI32" s="219"/>
      <c r="CJ32" s="219"/>
      <c r="CK32" s="219"/>
      <c r="CL32" s="219"/>
      <c r="CM32" s="219"/>
      <c r="CN32" s="219"/>
      <c r="CO32" s="219"/>
      <c r="CP32" s="219"/>
      <c r="CQ32" s="219"/>
      <c r="CR32" s="219"/>
      <c r="CS32" s="219"/>
      <c r="CT32" s="219"/>
      <c r="CU32" s="219"/>
      <c r="CV32" s="219"/>
      <c r="CW32" s="219"/>
      <c r="CX32" s="219"/>
      <c r="CY32" s="219"/>
    </row>
    <row r="33" spans="1:103" s="205" customFormat="1" ht="122.55" customHeight="1" x14ac:dyDescent="0.3">
      <c r="A33" s="272"/>
      <c r="B33" s="272"/>
      <c r="C33" s="272"/>
      <c r="D33" s="225" t="s">
        <v>387</v>
      </c>
      <c r="E33" s="226">
        <v>0</v>
      </c>
      <c r="F33" s="226">
        <v>0</v>
      </c>
      <c r="G33" s="192">
        <v>0</v>
      </c>
      <c r="H33" s="235">
        <v>3</v>
      </c>
      <c r="I33" s="186" t="s">
        <v>571</v>
      </c>
      <c r="J33" s="186" t="s">
        <v>149</v>
      </c>
      <c r="K33" s="186" t="s">
        <v>592</v>
      </c>
      <c r="L33" s="182" t="s">
        <v>593</v>
      </c>
      <c r="M33" s="186" t="s">
        <v>389</v>
      </c>
      <c r="N33" s="186" t="s">
        <v>389</v>
      </c>
      <c r="O33" s="182" t="s">
        <v>627</v>
      </c>
      <c r="P33" s="186">
        <v>0</v>
      </c>
      <c r="Q33" s="186" t="s">
        <v>389</v>
      </c>
      <c r="R33" s="190" t="s">
        <v>387</v>
      </c>
      <c r="S33" s="186">
        <v>2</v>
      </c>
      <c r="T33" s="186">
        <v>4</v>
      </c>
      <c r="U33" s="246">
        <f t="shared" ref="U33:U38" si="13">S33*T33</f>
        <v>8</v>
      </c>
      <c r="V33" s="186" t="str">
        <f t="shared" si="9"/>
        <v>Medio</v>
      </c>
      <c r="W33" s="186">
        <v>25</v>
      </c>
      <c r="X33" s="246">
        <f t="shared" si="2"/>
        <v>200</v>
      </c>
      <c r="Y33" s="247" t="str">
        <f t="shared" si="10"/>
        <v>II Corregir y adoptar medidas de control inmediato.  Sin embargo, suspenda actividades si el nivel de consecuencia está por encima de 60.</v>
      </c>
      <c r="Z33" s="247" t="str">
        <f t="shared" si="11"/>
        <v>No Aceptable</v>
      </c>
      <c r="AA33" s="186" t="s">
        <v>389</v>
      </c>
      <c r="AB33" s="186" t="s">
        <v>389</v>
      </c>
      <c r="AC33" s="186" t="s">
        <v>389</v>
      </c>
      <c r="AD33" s="186" t="s">
        <v>595</v>
      </c>
      <c r="AE33" s="186" t="s">
        <v>596</v>
      </c>
      <c r="AF33" s="150"/>
      <c r="AG33" s="212"/>
      <c r="AH33" s="212"/>
      <c r="AI33" s="213">
        <v>2</v>
      </c>
      <c r="AJ33" s="214">
        <v>2</v>
      </c>
      <c r="AK33" s="215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7"/>
      <c r="AY33" s="217"/>
      <c r="AZ33" s="217"/>
      <c r="BA33" s="217"/>
      <c r="BB33" s="217"/>
      <c r="BC33" s="217"/>
      <c r="BD33" s="217"/>
      <c r="BE33" s="217"/>
      <c r="BF33" s="217"/>
      <c r="BG33" s="217"/>
      <c r="BH33" s="217"/>
      <c r="BI33" s="217"/>
      <c r="BJ33" s="217"/>
      <c r="BK33" s="217"/>
      <c r="BL33" s="217"/>
      <c r="BM33" s="217"/>
      <c r="BN33" s="217"/>
      <c r="BO33" s="217"/>
      <c r="BP33" s="217"/>
      <c r="BQ33" s="217"/>
      <c r="BR33" s="217"/>
      <c r="BS33" s="217"/>
      <c r="BT33" s="217"/>
      <c r="BU33" s="217"/>
      <c r="BV33" s="218"/>
      <c r="BW33" s="219"/>
      <c r="BX33" s="219"/>
      <c r="BY33" s="219"/>
      <c r="BZ33" s="219"/>
      <c r="CA33" s="219"/>
      <c r="CB33" s="219"/>
      <c r="CC33" s="219"/>
      <c r="CD33" s="219"/>
      <c r="CE33" s="219"/>
      <c r="CF33" s="219"/>
      <c r="CG33" s="219"/>
      <c r="CH33" s="219"/>
      <c r="CI33" s="219"/>
      <c r="CJ33" s="219"/>
      <c r="CK33" s="219"/>
      <c r="CL33" s="219"/>
      <c r="CM33" s="219"/>
      <c r="CN33" s="219"/>
      <c r="CO33" s="219"/>
      <c r="CP33" s="219"/>
      <c r="CQ33" s="219"/>
      <c r="CR33" s="219"/>
      <c r="CS33" s="219"/>
      <c r="CT33" s="219"/>
      <c r="CU33" s="219"/>
      <c r="CV33" s="219"/>
      <c r="CW33" s="219"/>
      <c r="CX33" s="219"/>
      <c r="CY33" s="219"/>
    </row>
    <row r="34" spans="1:103" s="205" customFormat="1" ht="74.25" customHeight="1" x14ac:dyDescent="0.3">
      <c r="A34" s="272"/>
      <c r="B34" s="272"/>
      <c r="C34" s="272"/>
      <c r="D34" s="225" t="s">
        <v>387</v>
      </c>
      <c r="E34" s="226">
        <v>0</v>
      </c>
      <c r="F34" s="226">
        <v>0</v>
      </c>
      <c r="G34" s="192">
        <v>0</v>
      </c>
      <c r="H34" s="235">
        <v>3</v>
      </c>
      <c r="I34" s="192" t="s">
        <v>125</v>
      </c>
      <c r="J34" s="192" t="s">
        <v>191</v>
      </c>
      <c r="K34" s="192" t="s">
        <v>623</v>
      </c>
      <c r="L34" s="192" t="s">
        <v>624</v>
      </c>
      <c r="M34" s="192" t="s">
        <v>389</v>
      </c>
      <c r="N34" s="192" t="s">
        <v>389</v>
      </c>
      <c r="O34" s="192" t="s">
        <v>547</v>
      </c>
      <c r="P34" s="192">
        <v>0</v>
      </c>
      <c r="Q34" s="186" t="s">
        <v>389</v>
      </c>
      <c r="R34" s="193" t="s">
        <v>387</v>
      </c>
      <c r="S34" s="192">
        <v>2</v>
      </c>
      <c r="T34" s="242">
        <v>3</v>
      </c>
      <c r="U34" s="240">
        <f t="shared" si="13"/>
        <v>6</v>
      </c>
      <c r="V34" s="241" t="str">
        <f t="shared" si="9"/>
        <v>Medio</v>
      </c>
      <c r="W34" s="242">
        <v>10</v>
      </c>
      <c r="X34" s="240">
        <f t="shared" si="2"/>
        <v>60</v>
      </c>
      <c r="Y34" s="240" t="str">
        <f t="shared" si="10"/>
        <v xml:space="preserve">III Mejorar si es posible.  Sería conveniente justificar la intervención y su rentabilidad. </v>
      </c>
      <c r="Z34" s="240" t="str">
        <f t="shared" si="11"/>
        <v>Aceptable</v>
      </c>
      <c r="AA34" s="241" t="s">
        <v>389</v>
      </c>
      <c r="AB34" s="192" t="s">
        <v>389</v>
      </c>
      <c r="AC34" s="192" t="s">
        <v>389</v>
      </c>
      <c r="AD34" s="192" t="s">
        <v>628</v>
      </c>
      <c r="AE34" s="192" t="s">
        <v>389</v>
      </c>
      <c r="AF34" s="156"/>
      <c r="AG34" s="227"/>
      <c r="AH34" s="227"/>
      <c r="AI34" s="228"/>
      <c r="AJ34" s="147"/>
      <c r="AK34" s="224"/>
      <c r="AL34" s="216"/>
      <c r="AM34" s="216"/>
      <c r="AN34" s="216"/>
      <c r="AO34" s="216"/>
      <c r="AP34" s="216"/>
      <c r="AQ34" s="216"/>
      <c r="AR34" s="216"/>
      <c r="AS34" s="216"/>
      <c r="AT34" s="216"/>
      <c r="AU34" s="216"/>
      <c r="AV34" s="216"/>
      <c r="AW34" s="216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8"/>
      <c r="BW34" s="219"/>
      <c r="BX34" s="219"/>
      <c r="BY34" s="219"/>
      <c r="BZ34" s="219"/>
      <c r="CA34" s="219"/>
      <c r="CB34" s="219"/>
      <c r="CC34" s="219"/>
      <c r="CD34" s="219"/>
      <c r="CE34" s="219"/>
      <c r="CF34" s="219"/>
      <c r="CG34" s="219"/>
      <c r="CH34" s="219"/>
      <c r="CI34" s="219"/>
      <c r="CJ34" s="219"/>
      <c r="CK34" s="219"/>
      <c r="CL34" s="219"/>
      <c r="CM34" s="219"/>
      <c r="CN34" s="219"/>
      <c r="CO34" s="219"/>
      <c r="CP34" s="219"/>
      <c r="CQ34" s="219"/>
      <c r="CR34" s="219"/>
      <c r="CS34" s="219"/>
      <c r="CT34" s="219"/>
      <c r="CU34" s="219"/>
      <c r="CV34" s="219"/>
      <c r="CW34" s="219"/>
      <c r="CX34" s="219"/>
      <c r="CY34" s="219"/>
    </row>
    <row r="35" spans="1:103" s="205" customFormat="1" ht="117.45" customHeight="1" x14ac:dyDescent="0.3">
      <c r="A35" s="272"/>
      <c r="B35" s="272"/>
      <c r="C35" s="272"/>
      <c r="D35" s="225" t="s">
        <v>387</v>
      </c>
      <c r="E35" s="226">
        <v>0</v>
      </c>
      <c r="F35" s="226">
        <v>0</v>
      </c>
      <c r="G35" s="192">
        <v>0</v>
      </c>
      <c r="H35" s="235">
        <v>3</v>
      </c>
      <c r="I35" s="192" t="s">
        <v>597</v>
      </c>
      <c r="J35" s="192" t="s">
        <v>193</v>
      </c>
      <c r="K35" s="192" t="s">
        <v>423</v>
      </c>
      <c r="L35" s="192" t="s">
        <v>424</v>
      </c>
      <c r="M35" s="186" t="s">
        <v>629</v>
      </c>
      <c r="N35" s="186" t="s">
        <v>389</v>
      </c>
      <c r="O35" s="192" t="s">
        <v>425</v>
      </c>
      <c r="P35" s="192">
        <v>0</v>
      </c>
      <c r="Q35" s="186" t="s">
        <v>389</v>
      </c>
      <c r="R35" s="193" t="s">
        <v>387</v>
      </c>
      <c r="S35" s="192">
        <v>2</v>
      </c>
      <c r="T35" s="192">
        <v>4</v>
      </c>
      <c r="U35" s="185">
        <f t="shared" si="13"/>
        <v>8</v>
      </c>
      <c r="V35" s="186" t="str">
        <f t="shared" si="9"/>
        <v>Medio</v>
      </c>
      <c r="W35" s="192">
        <v>25</v>
      </c>
      <c r="X35" s="185">
        <f t="shared" si="2"/>
        <v>200</v>
      </c>
      <c r="Y35" s="185" t="str">
        <f t="shared" si="10"/>
        <v>II Corregir y adoptar medidas de control inmediato.  Sin embargo, suspenda actividades si el nivel de consecuencia está por encima de 60.</v>
      </c>
      <c r="Z35" s="185" t="str">
        <f t="shared" si="11"/>
        <v>No Aceptable</v>
      </c>
      <c r="AA35" s="192" t="s">
        <v>389</v>
      </c>
      <c r="AB35" s="192" t="s">
        <v>389</v>
      </c>
      <c r="AC35" s="192" t="s">
        <v>389</v>
      </c>
      <c r="AD35" s="192" t="s">
        <v>630</v>
      </c>
      <c r="AE35" s="192" t="s">
        <v>389</v>
      </c>
      <c r="AF35" s="156"/>
      <c r="AG35" s="227"/>
      <c r="AH35" s="227"/>
      <c r="AI35" s="228">
        <v>2</v>
      </c>
      <c r="AJ35" s="147">
        <v>2</v>
      </c>
      <c r="AK35" s="224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7"/>
      <c r="AY35" s="217"/>
      <c r="AZ35" s="217"/>
      <c r="BA35" s="217"/>
      <c r="BB35" s="217"/>
      <c r="BC35" s="217"/>
      <c r="BD35" s="217"/>
      <c r="BE35" s="217"/>
      <c r="BF35" s="217"/>
      <c r="BG35" s="217"/>
      <c r="BH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8"/>
      <c r="BW35" s="219"/>
      <c r="BX35" s="219"/>
      <c r="BY35" s="219"/>
      <c r="BZ35" s="219"/>
      <c r="CA35" s="219"/>
      <c r="CB35" s="219"/>
      <c r="CC35" s="219"/>
      <c r="CD35" s="219"/>
      <c r="CE35" s="219"/>
      <c r="CF35" s="219"/>
      <c r="CG35" s="219"/>
      <c r="CH35" s="219"/>
      <c r="CI35" s="219"/>
      <c r="CJ35" s="219"/>
      <c r="CK35" s="219"/>
      <c r="CL35" s="219"/>
      <c r="CM35" s="219"/>
      <c r="CN35" s="219"/>
      <c r="CO35" s="219"/>
      <c r="CP35" s="219"/>
      <c r="CQ35" s="219"/>
      <c r="CR35" s="219"/>
      <c r="CS35" s="219"/>
      <c r="CT35" s="219"/>
      <c r="CU35" s="219"/>
      <c r="CV35" s="219"/>
      <c r="CW35" s="219"/>
      <c r="CX35" s="219"/>
      <c r="CY35" s="219"/>
    </row>
    <row r="36" spans="1:103" s="205" customFormat="1" ht="120.45" customHeight="1" x14ac:dyDescent="0.3">
      <c r="A36" s="272"/>
      <c r="B36" s="272"/>
      <c r="C36" s="272"/>
      <c r="D36" s="225" t="s">
        <v>387</v>
      </c>
      <c r="E36" s="226">
        <v>0</v>
      </c>
      <c r="F36" s="226">
        <v>0</v>
      </c>
      <c r="G36" s="192">
        <v>0</v>
      </c>
      <c r="H36" s="235">
        <v>3</v>
      </c>
      <c r="I36" s="186" t="s">
        <v>597</v>
      </c>
      <c r="J36" s="186" t="s">
        <v>197</v>
      </c>
      <c r="K36" s="211" t="s">
        <v>426</v>
      </c>
      <c r="L36" s="211" t="s">
        <v>427</v>
      </c>
      <c r="M36" s="186" t="s">
        <v>389</v>
      </c>
      <c r="N36" s="186" t="s">
        <v>389</v>
      </c>
      <c r="O36" s="186" t="s">
        <v>548</v>
      </c>
      <c r="P36" s="186">
        <v>0</v>
      </c>
      <c r="Q36" s="186" t="s">
        <v>389</v>
      </c>
      <c r="R36" s="190" t="s">
        <v>387</v>
      </c>
      <c r="S36" s="186">
        <v>2</v>
      </c>
      <c r="T36" s="186">
        <v>4</v>
      </c>
      <c r="U36" s="186">
        <f t="shared" si="13"/>
        <v>8</v>
      </c>
      <c r="V36" s="186" t="str">
        <f t="shared" si="9"/>
        <v>Medio</v>
      </c>
      <c r="W36" s="186">
        <v>25</v>
      </c>
      <c r="X36" s="186">
        <f t="shared" si="2"/>
        <v>200</v>
      </c>
      <c r="Y36" s="185" t="str">
        <f t="shared" si="10"/>
        <v>II Corregir y adoptar medidas de control inmediato.  Sin embargo, suspenda actividades si el nivel de consecuencia está por encima de 60.</v>
      </c>
      <c r="Z36" s="185" t="str">
        <f t="shared" si="11"/>
        <v>No Aceptable</v>
      </c>
      <c r="AA36" s="186" t="s">
        <v>389</v>
      </c>
      <c r="AB36" s="186" t="s">
        <v>389</v>
      </c>
      <c r="AC36" s="186" t="s">
        <v>389</v>
      </c>
      <c r="AD36" s="186" t="s">
        <v>631</v>
      </c>
      <c r="AE36" s="186" t="s">
        <v>389</v>
      </c>
      <c r="AF36" s="151"/>
      <c r="AG36" s="151"/>
      <c r="AH36" s="151"/>
      <c r="AI36" s="154">
        <v>1</v>
      </c>
      <c r="AJ36" s="148">
        <v>1</v>
      </c>
      <c r="AK36" s="20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7"/>
      <c r="AY36" s="217"/>
      <c r="AZ36" s="217"/>
      <c r="BA36" s="217"/>
      <c r="BB36" s="217"/>
      <c r="BC36" s="217"/>
      <c r="BD36" s="217"/>
      <c r="BE36" s="217"/>
      <c r="BF36" s="217"/>
      <c r="BG36" s="217"/>
      <c r="BH36" s="217"/>
      <c r="BI36" s="217"/>
      <c r="BJ36" s="217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8"/>
      <c r="BW36" s="219"/>
      <c r="BX36" s="219"/>
      <c r="BY36" s="219"/>
      <c r="BZ36" s="219"/>
      <c r="CA36" s="219"/>
      <c r="CB36" s="219"/>
      <c r="CC36" s="219"/>
      <c r="CD36" s="219"/>
      <c r="CE36" s="219"/>
      <c r="CF36" s="219"/>
      <c r="CG36" s="219"/>
      <c r="CH36" s="219"/>
      <c r="CI36" s="219"/>
      <c r="CJ36" s="219"/>
      <c r="CK36" s="219"/>
      <c r="CL36" s="219"/>
      <c r="CM36" s="219"/>
      <c r="CN36" s="219"/>
      <c r="CO36" s="219"/>
      <c r="CP36" s="219"/>
      <c r="CQ36" s="219"/>
      <c r="CR36" s="219"/>
      <c r="CS36" s="219"/>
      <c r="CT36" s="219"/>
      <c r="CU36" s="219"/>
      <c r="CV36" s="219"/>
      <c r="CW36" s="219"/>
      <c r="CX36" s="219"/>
      <c r="CY36" s="219"/>
    </row>
    <row r="37" spans="1:103" s="205" customFormat="1" ht="105.45" customHeight="1" x14ac:dyDescent="0.3">
      <c r="A37" s="272"/>
      <c r="B37" s="272"/>
      <c r="C37" s="272"/>
      <c r="D37" s="225" t="s">
        <v>387</v>
      </c>
      <c r="E37" s="226">
        <v>0</v>
      </c>
      <c r="F37" s="226">
        <v>0</v>
      </c>
      <c r="G37" s="192">
        <v>0</v>
      </c>
      <c r="H37" s="235">
        <v>3</v>
      </c>
      <c r="I37" s="192" t="s">
        <v>135</v>
      </c>
      <c r="J37" s="192" t="s">
        <v>388</v>
      </c>
      <c r="K37" s="186" t="s">
        <v>632</v>
      </c>
      <c r="L37" s="186" t="s">
        <v>410</v>
      </c>
      <c r="M37" s="186" t="s">
        <v>389</v>
      </c>
      <c r="N37" s="186" t="s">
        <v>389</v>
      </c>
      <c r="O37" s="186" t="s">
        <v>428</v>
      </c>
      <c r="P37" s="192">
        <v>0</v>
      </c>
      <c r="Q37" s="186" t="s">
        <v>389</v>
      </c>
      <c r="R37" s="193" t="s">
        <v>387</v>
      </c>
      <c r="S37" s="192">
        <v>2</v>
      </c>
      <c r="T37" s="192">
        <v>4</v>
      </c>
      <c r="U37" s="185">
        <f t="shared" si="13"/>
        <v>8</v>
      </c>
      <c r="V37" s="186" t="str">
        <f t="shared" si="9"/>
        <v>Medio</v>
      </c>
      <c r="W37" s="192">
        <v>25</v>
      </c>
      <c r="X37" s="185">
        <f t="shared" si="2"/>
        <v>200</v>
      </c>
      <c r="Y37" s="185" t="str">
        <f t="shared" si="10"/>
        <v>II Corregir y adoptar medidas de control inmediato.  Sin embargo, suspenda actividades si el nivel de consecuencia está por encima de 60.</v>
      </c>
      <c r="Z37" s="185" t="str">
        <f t="shared" si="11"/>
        <v>No Aceptable</v>
      </c>
      <c r="AA37" s="192" t="s">
        <v>389</v>
      </c>
      <c r="AB37" s="192" t="s">
        <v>389</v>
      </c>
      <c r="AC37" s="192" t="s">
        <v>389</v>
      </c>
      <c r="AD37" s="186" t="s">
        <v>633</v>
      </c>
      <c r="AE37" s="186" t="s">
        <v>429</v>
      </c>
      <c r="AF37" s="151"/>
      <c r="AG37" s="222"/>
      <c r="AH37" s="222"/>
      <c r="AI37" s="154">
        <v>1</v>
      </c>
      <c r="AJ37" s="147"/>
      <c r="AK37" s="224"/>
      <c r="AL37" s="216"/>
      <c r="AM37" s="216"/>
      <c r="AN37" s="216"/>
      <c r="AO37" s="216"/>
      <c r="AP37" s="216"/>
      <c r="AQ37" s="216"/>
      <c r="AR37" s="216"/>
      <c r="AS37" s="216"/>
      <c r="AT37" s="216"/>
      <c r="AU37" s="216"/>
      <c r="AV37" s="216"/>
      <c r="AW37" s="216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7"/>
      <c r="BK37" s="217"/>
      <c r="BL37" s="217"/>
      <c r="BM37" s="217"/>
      <c r="BN37" s="217"/>
      <c r="BO37" s="217"/>
      <c r="BP37" s="217"/>
      <c r="BQ37" s="217"/>
      <c r="BR37" s="217"/>
      <c r="BS37" s="217"/>
      <c r="BT37" s="217"/>
      <c r="BU37" s="217"/>
      <c r="BV37" s="218"/>
      <c r="BW37" s="219"/>
      <c r="BX37" s="219"/>
      <c r="BY37" s="219"/>
      <c r="BZ37" s="219"/>
      <c r="CA37" s="219"/>
      <c r="CB37" s="219"/>
      <c r="CC37" s="219"/>
      <c r="CD37" s="219"/>
      <c r="CE37" s="219"/>
      <c r="CF37" s="219"/>
      <c r="CG37" s="219"/>
      <c r="CH37" s="219"/>
      <c r="CI37" s="219"/>
      <c r="CJ37" s="219"/>
      <c r="CK37" s="219"/>
      <c r="CL37" s="219"/>
      <c r="CM37" s="219"/>
      <c r="CN37" s="219"/>
      <c r="CO37" s="219"/>
      <c r="CP37" s="219"/>
      <c r="CQ37" s="219"/>
      <c r="CR37" s="219"/>
      <c r="CS37" s="219"/>
      <c r="CT37" s="219"/>
      <c r="CU37" s="219"/>
      <c r="CV37" s="219"/>
      <c r="CW37" s="219"/>
      <c r="CX37" s="219"/>
      <c r="CY37" s="219"/>
    </row>
    <row r="38" spans="1:103" s="205" customFormat="1" ht="108" customHeight="1" x14ac:dyDescent="0.3">
      <c r="A38" s="272"/>
      <c r="B38" s="272"/>
      <c r="C38" s="272"/>
      <c r="D38" s="225" t="s">
        <v>387</v>
      </c>
      <c r="E38" s="226">
        <v>0</v>
      </c>
      <c r="F38" s="226">
        <v>0</v>
      </c>
      <c r="G38" s="192">
        <v>0</v>
      </c>
      <c r="H38" s="235">
        <v>3</v>
      </c>
      <c r="I38" s="192" t="s">
        <v>135</v>
      </c>
      <c r="J38" s="192" t="s">
        <v>430</v>
      </c>
      <c r="K38" s="192" t="s">
        <v>634</v>
      </c>
      <c r="L38" s="182" t="s">
        <v>431</v>
      </c>
      <c r="M38" s="192" t="s">
        <v>432</v>
      </c>
      <c r="N38" s="182" t="s">
        <v>635</v>
      </c>
      <c r="O38" s="182" t="s">
        <v>636</v>
      </c>
      <c r="P38" s="192">
        <v>0</v>
      </c>
      <c r="Q38" s="186" t="s">
        <v>389</v>
      </c>
      <c r="R38" s="193" t="s">
        <v>387</v>
      </c>
      <c r="S38" s="192">
        <v>2</v>
      </c>
      <c r="T38" s="192">
        <v>4</v>
      </c>
      <c r="U38" s="185">
        <f t="shared" si="13"/>
        <v>8</v>
      </c>
      <c r="V38" s="186" t="str">
        <f t="shared" si="9"/>
        <v>Medio</v>
      </c>
      <c r="W38" s="192">
        <v>25</v>
      </c>
      <c r="X38" s="185">
        <f t="shared" si="2"/>
        <v>200</v>
      </c>
      <c r="Y38" s="185" t="str">
        <f t="shared" si="10"/>
        <v>II Corregir y adoptar medidas de control inmediato.  Sin embargo, suspenda actividades si el nivel de consecuencia está por encima de 60.</v>
      </c>
      <c r="Z38" s="185" t="str">
        <f t="shared" si="11"/>
        <v>No Aceptable</v>
      </c>
      <c r="AA38" s="243" t="s">
        <v>389</v>
      </c>
      <c r="AB38" s="243" t="s">
        <v>389</v>
      </c>
      <c r="AC38" s="243" t="s">
        <v>389</v>
      </c>
      <c r="AD38" s="192" t="s">
        <v>637</v>
      </c>
      <c r="AE38" s="192" t="s">
        <v>429</v>
      </c>
      <c r="AF38" s="156"/>
      <c r="AG38" s="227"/>
      <c r="AH38" s="227"/>
      <c r="AI38" s="228">
        <v>2</v>
      </c>
      <c r="AJ38" s="147"/>
      <c r="AK38" s="224"/>
      <c r="AL38" s="216"/>
      <c r="AM38" s="216"/>
      <c r="AN38" s="216"/>
      <c r="AO38" s="216"/>
      <c r="AP38" s="216"/>
      <c r="AQ38" s="216"/>
      <c r="AR38" s="216"/>
      <c r="AS38" s="216"/>
      <c r="AT38" s="216"/>
      <c r="AU38" s="216"/>
      <c r="AV38" s="216"/>
      <c r="AW38" s="216"/>
      <c r="AX38" s="217"/>
      <c r="AY38" s="217"/>
      <c r="AZ38" s="217"/>
      <c r="BA38" s="217"/>
      <c r="BB38" s="217"/>
      <c r="BC38" s="217"/>
      <c r="BD38" s="217"/>
      <c r="BE38" s="217"/>
      <c r="BF38" s="217"/>
      <c r="BG38" s="217"/>
      <c r="BH38" s="217"/>
      <c r="BI38" s="217"/>
      <c r="BJ38" s="217"/>
      <c r="BK38" s="217"/>
      <c r="BL38" s="217"/>
      <c r="BM38" s="217"/>
      <c r="BN38" s="217"/>
      <c r="BO38" s="217"/>
      <c r="BP38" s="217"/>
      <c r="BQ38" s="217"/>
      <c r="BR38" s="217"/>
      <c r="BS38" s="217"/>
      <c r="BT38" s="217"/>
      <c r="BU38" s="217"/>
      <c r="BV38" s="218"/>
      <c r="BW38" s="219"/>
      <c r="BX38" s="219"/>
      <c r="BY38" s="219"/>
      <c r="BZ38" s="219"/>
      <c r="CA38" s="219"/>
      <c r="CB38" s="219"/>
      <c r="CC38" s="219"/>
      <c r="CD38" s="219"/>
      <c r="CE38" s="219"/>
      <c r="CF38" s="219"/>
      <c r="CG38" s="219"/>
      <c r="CH38" s="219"/>
      <c r="CI38" s="219"/>
      <c r="CJ38" s="219"/>
      <c r="CK38" s="219"/>
      <c r="CL38" s="219"/>
      <c r="CM38" s="219"/>
      <c r="CN38" s="219"/>
      <c r="CO38" s="219"/>
      <c r="CP38" s="219"/>
      <c r="CQ38" s="219"/>
      <c r="CR38" s="219"/>
      <c r="CS38" s="219"/>
      <c r="CT38" s="219"/>
      <c r="CU38" s="219"/>
      <c r="CV38" s="219"/>
      <c r="CW38" s="219"/>
      <c r="CX38" s="219"/>
      <c r="CY38" s="219"/>
    </row>
    <row r="39" spans="1:103" s="205" customFormat="1" ht="117" customHeight="1" x14ac:dyDescent="0.3">
      <c r="A39" s="273"/>
      <c r="B39" s="273"/>
      <c r="C39" s="273"/>
      <c r="D39" s="225" t="s">
        <v>387</v>
      </c>
      <c r="E39" s="226">
        <v>0</v>
      </c>
      <c r="F39" s="226">
        <v>0</v>
      </c>
      <c r="G39" s="192">
        <v>0</v>
      </c>
      <c r="H39" s="235">
        <v>3</v>
      </c>
      <c r="I39" s="192" t="s">
        <v>135</v>
      </c>
      <c r="J39" s="192" t="s">
        <v>219</v>
      </c>
      <c r="K39" s="192" t="s">
        <v>638</v>
      </c>
      <c r="L39" s="192" t="s">
        <v>392</v>
      </c>
      <c r="M39" s="192" t="s">
        <v>389</v>
      </c>
      <c r="N39" s="192" t="s">
        <v>639</v>
      </c>
      <c r="O39" s="192" t="s">
        <v>549</v>
      </c>
      <c r="P39" s="192">
        <v>0</v>
      </c>
      <c r="Q39" s="186" t="s">
        <v>389</v>
      </c>
      <c r="R39" s="193" t="s">
        <v>387</v>
      </c>
      <c r="S39" s="192">
        <v>2</v>
      </c>
      <c r="T39" s="192">
        <v>4</v>
      </c>
      <c r="U39" s="188">
        <v>8</v>
      </c>
      <c r="V39" s="192" t="str">
        <f t="shared" si="9"/>
        <v>Medio</v>
      </c>
      <c r="W39" s="192">
        <v>25</v>
      </c>
      <c r="X39" s="188">
        <f t="shared" si="2"/>
        <v>200</v>
      </c>
      <c r="Y39" s="188" t="str">
        <f t="shared" si="10"/>
        <v>II Corregir y adoptar medidas de control inmediato.  Sin embargo, suspenda actividades si el nivel de consecuencia está por encima de 60.</v>
      </c>
      <c r="Z39" s="185" t="str">
        <f t="shared" si="11"/>
        <v>No Aceptable</v>
      </c>
      <c r="AA39" s="243" t="s">
        <v>389</v>
      </c>
      <c r="AB39" s="243" t="s">
        <v>389</v>
      </c>
      <c r="AC39" s="243" t="s">
        <v>389</v>
      </c>
      <c r="AD39" s="192" t="s">
        <v>550</v>
      </c>
      <c r="AE39" s="192" t="s">
        <v>609</v>
      </c>
      <c r="AF39" s="156"/>
      <c r="AG39" s="227"/>
      <c r="AH39" s="227"/>
      <c r="AI39" s="228">
        <v>3</v>
      </c>
      <c r="AJ39" s="147"/>
      <c r="AK39" s="224"/>
      <c r="AL39" s="216"/>
      <c r="AM39" s="216"/>
      <c r="AN39" s="216"/>
      <c r="AO39" s="216"/>
      <c r="AP39" s="216"/>
      <c r="AQ39" s="216"/>
      <c r="AR39" s="216"/>
      <c r="AS39" s="216"/>
      <c r="AT39" s="216"/>
      <c r="AU39" s="216"/>
      <c r="AV39" s="216"/>
      <c r="AW39" s="216"/>
      <c r="AX39" s="217"/>
      <c r="AY39" s="217"/>
      <c r="AZ39" s="217"/>
      <c r="BA39" s="217"/>
      <c r="BB39" s="217"/>
      <c r="BC39" s="217"/>
      <c r="BD39" s="217"/>
      <c r="BE39" s="217"/>
      <c r="BF39" s="217"/>
      <c r="BG39" s="217"/>
      <c r="BH39" s="217"/>
      <c r="BI39" s="217"/>
      <c r="BJ39" s="217"/>
      <c r="BK39" s="217"/>
      <c r="BL39" s="217"/>
      <c r="BM39" s="217"/>
      <c r="BN39" s="217"/>
      <c r="BO39" s="217"/>
      <c r="BP39" s="217"/>
      <c r="BQ39" s="217"/>
      <c r="BR39" s="217"/>
      <c r="BS39" s="217"/>
      <c r="BT39" s="217"/>
      <c r="BU39" s="217"/>
      <c r="BV39" s="218"/>
      <c r="BW39" s="219"/>
      <c r="BX39" s="219"/>
      <c r="BY39" s="219"/>
      <c r="BZ39" s="219"/>
      <c r="CA39" s="219"/>
      <c r="CB39" s="219"/>
      <c r="CC39" s="219"/>
      <c r="CD39" s="219"/>
      <c r="CE39" s="219"/>
      <c r="CF39" s="219"/>
      <c r="CG39" s="219"/>
      <c r="CH39" s="219"/>
      <c r="CI39" s="219"/>
      <c r="CJ39" s="219"/>
      <c r="CK39" s="219"/>
      <c r="CL39" s="219"/>
      <c r="CM39" s="219"/>
      <c r="CN39" s="219"/>
      <c r="CO39" s="219"/>
      <c r="CP39" s="219"/>
      <c r="CQ39" s="219"/>
      <c r="CR39" s="219"/>
      <c r="CS39" s="219"/>
      <c r="CT39" s="219"/>
      <c r="CU39" s="219"/>
      <c r="CV39" s="219"/>
      <c r="CW39" s="219"/>
      <c r="CX39" s="219"/>
      <c r="CY39" s="219"/>
    </row>
    <row r="40" spans="1:103" s="205" customFormat="1" ht="74.25" hidden="1" customHeight="1" x14ac:dyDescent="0.3">
      <c r="A40" s="277" t="s">
        <v>433</v>
      </c>
      <c r="B40" s="274" t="s">
        <v>434</v>
      </c>
      <c r="C40" s="274" t="s">
        <v>640</v>
      </c>
      <c r="D40" s="225" t="s">
        <v>387</v>
      </c>
      <c r="E40" s="226">
        <v>0</v>
      </c>
      <c r="F40" s="226">
        <v>0</v>
      </c>
      <c r="G40" s="192">
        <v>0</v>
      </c>
      <c r="H40" s="192">
        <v>2</v>
      </c>
      <c r="I40" s="186" t="s">
        <v>585</v>
      </c>
      <c r="J40" s="186" t="s">
        <v>111</v>
      </c>
      <c r="K40" s="186" t="s">
        <v>641</v>
      </c>
      <c r="L40" s="211" t="s">
        <v>396</v>
      </c>
      <c r="M40" s="186" t="s">
        <v>389</v>
      </c>
      <c r="N40" s="186" t="s">
        <v>397</v>
      </c>
      <c r="O40" s="186" t="s">
        <v>642</v>
      </c>
      <c r="P40" s="186">
        <v>0</v>
      </c>
      <c r="Q40" s="186"/>
      <c r="R40" s="190" t="s">
        <v>387</v>
      </c>
      <c r="S40" s="186">
        <v>2</v>
      </c>
      <c r="T40" s="186">
        <v>3</v>
      </c>
      <c r="U40" s="186">
        <f>S40*T40</f>
        <v>6</v>
      </c>
      <c r="V40" s="186" t="str">
        <f t="shared" si="9"/>
        <v>Medio</v>
      </c>
      <c r="W40" s="186">
        <v>25</v>
      </c>
      <c r="X40" s="186">
        <f t="shared" si="2"/>
        <v>150</v>
      </c>
      <c r="Y40" s="186" t="str">
        <f t="shared" si="10"/>
        <v>II Corregir y adoptar medidas de control inmediato.  Sin embargo, suspenda actividades si el nivel de consecuencia está por encima de 60.</v>
      </c>
      <c r="Z40" s="186" t="str">
        <f t="shared" si="11"/>
        <v>No Aceptable</v>
      </c>
      <c r="AA40" s="186"/>
      <c r="AB40" s="186"/>
      <c r="AC40" s="186"/>
      <c r="AD40" s="186" t="s">
        <v>643</v>
      </c>
      <c r="AE40" s="186" t="s">
        <v>398</v>
      </c>
      <c r="AF40" s="151"/>
      <c r="AG40" s="151"/>
      <c r="AH40" s="151"/>
      <c r="AI40" s="154">
        <v>1</v>
      </c>
      <c r="AJ40" s="148">
        <v>1</v>
      </c>
      <c r="AK40" s="20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7"/>
      <c r="AY40" s="217"/>
      <c r="AZ40" s="217"/>
      <c r="BA40" s="217"/>
      <c r="BB40" s="217"/>
      <c r="BC40" s="217"/>
      <c r="BD40" s="217"/>
      <c r="BE40" s="217"/>
      <c r="BF40" s="217"/>
      <c r="BG40" s="217"/>
      <c r="BH40" s="217"/>
      <c r="BI40" s="217"/>
      <c r="BJ40" s="217"/>
      <c r="BK40" s="217"/>
      <c r="BL40" s="217"/>
      <c r="BM40" s="217"/>
      <c r="BN40" s="217"/>
      <c r="BO40" s="217"/>
      <c r="BP40" s="217"/>
      <c r="BQ40" s="217"/>
      <c r="BR40" s="217"/>
      <c r="BS40" s="217"/>
      <c r="BT40" s="217"/>
      <c r="BU40" s="217"/>
      <c r="BV40" s="218"/>
      <c r="BW40" s="219"/>
      <c r="BX40" s="219"/>
      <c r="BY40" s="219"/>
      <c r="BZ40" s="219"/>
      <c r="CA40" s="219"/>
      <c r="CB40" s="219"/>
      <c r="CC40" s="219"/>
      <c r="CD40" s="219"/>
      <c r="CE40" s="219"/>
      <c r="CF40" s="219"/>
      <c r="CG40" s="219"/>
      <c r="CH40" s="219"/>
      <c r="CI40" s="219"/>
      <c r="CJ40" s="219"/>
      <c r="CK40" s="219"/>
      <c r="CL40" s="219"/>
      <c r="CM40" s="219"/>
      <c r="CN40" s="219"/>
      <c r="CO40" s="219"/>
      <c r="CP40" s="219"/>
      <c r="CQ40" s="219"/>
      <c r="CR40" s="219"/>
      <c r="CS40" s="219"/>
      <c r="CT40" s="219"/>
      <c r="CU40" s="219"/>
      <c r="CV40" s="219"/>
      <c r="CW40" s="219"/>
      <c r="CX40" s="219"/>
      <c r="CY40" s="219"/>
    </row>
    <row r="41" spans="1:103" s="205" customFormat="1" ht="74.25" hidden="1" customHeight="1" x14ac:dyDescent="0.3">
      <c r="A41" s="272"/>
      <c r="B41" s="272"/>
      <c r="C41" s="272"/>
      <c r="D41" s="225" t="s">
        <v>387</v>
      </c>
      <c r="E41" s="226">
        <v>0</v>
      </c>
      <c r="F41" s="226">
        <v>0</v>
      </c>
      <c r="G41" s="192">
        <v>0</v>
      </c>
      <c r="H41" s="192">
        <v>2</v>
      </c>
      <c r="I41" s="185" t="s">
        <v>566</v>
      </c>
      <c r="J41" s="185" t="s">
        <v>179</v>
      </c>
      <c r="K41" s="186" t="s">
        <v>435</v>
      </c>
      <c r="L41" s="182" t="s">
        <v>589</v>
      </c>
      <c r="M41" s="185" t="s">
        <v>389</v>
      </c>
      <c r="N41" s="185" t="s">
        <v>590</v>
      </c>
      <c r="O41" s="185" t="s">
        <v>436</v>
      </c>
      <c r="P41" s="185">
        <v>0</v>
      </c>
      <c r="Q41" s="185"/>
      <c r="R41" s="191" t="s">
        <v>387</v>
      </c>
      <c r="S41" s="185">
        <v>2</v>
      </c>
      <c r="T41" s="185">
        <v>2</v>
      </c>
      <c r="U41" s="185">
        <f>SUM(S41*T41)</f>
        <v>4</v>
      </c>
      <c r="V41" s="186" t="str">
        <f>VLOOKUP(U41,BZ251:CA262,2)</f>
        <v>Bajo</v>
      </c>
      <c r="W41" s="185">
        <v>10</v>
      </c>
      <c r="X41" s="185">
        <f t="shared" si="2"/>
        <v>40</v>
      </c>
      <c r="Y41" s="185" t="str">
        <f>VLOOKUP(X41,CC252:CF275,2)</f>
        <v xml:space="preserve">III Mejorar si es posible.  Sería conveniente justificar la intervención y su rentabilidad. </v>
      </c>
      <c r="Z41" s="185" t="str">
        <f>VLOOKUP(X41,CC252:CG275,3)</f>
        <v>Aceptable</v>
      </c>
      <c r="AA41" s="186"/>
      <c r="AB41" s="186"/>
      <c r="AC41" s="186"/>
      <c r="AD41" s="186" t="s">
        <v>644</v>
      </c>
      <c r="AE41" s="186" t="s">
        <v>398</v>
      </c>
      <c r="AF41" s="150"/>
      <c r="AG41" s="212"/>
      <c r="AH41" s="212"/>
      <c r="AI41" s="213">
        <v>2</v>
      </c>
      <c r="AJ41" s="214">
        <v>2</v>
      </c>
      <c r="AK41" s="215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7"/>
      <c r="AY41" s="217"/>
      <c r="AZ41" s="217"/>
      <c r="BA41" s="217"/>
      <c r="BB41" s="217"/>
      <c r="BC41" s="217"/>
      <c r="BD41" s="217"/>
      <c r="BE41" s="217"/>
      <c r="BF41" s="217"/>
      <c r="BG41" s="217"/>
      <c r="BH41" s="217"/>
      <c r="BI41" s="217"/>
      <c r="BJ41" s="217"/>
      <c r="BK41" s="217"/>
      <c r="BL41" s="217"/>
      <c r="BM41" s="217"/>
      <c r="BN41" s="217"/>
      <c r="BO41" s="217"/>
      <c r="BP41" s="217"/>
      <c r="BQ41" s="217"/>
      <c r="BR41" s="217"/>
      <c r="BS41" s="217"/>
      <c r="BT41" s="217"/>
      <c r="BU41" s="217"/>
      <c r="BV41" s="218"/>
      <c r="BW41" s="219"/>
      <c r="BX41" s="219"/>
      <c r="BY41" s="219"/>
      <c r="BZ41" s="219"/>
      <c r="CA41" s="219"/>
      <c r="CB41" s="219"/>
      <c r="CC41" s="219"/>
      <c r="CD41" s="219"/>
      <c r="CE41" s="219"/>
      <c r="CF41" s="219"/>
      <c r="CG41" s="219"/>
      <c r="CH41" s="219"/>
      <c r="CI41" s="219"/>
      <c r="CJ41" s="219"/>
      <c r="CK41" s="219"/>
      <c r="CL41" s="219"/>
      <c r="CM41" s="219"/>
      <c r="CN41" s="219"/>
      <c r="CO41" s="219"/>
      <c r="CP41" s="219"/>
      <c r="CQ41" s="219"/>
      <c r="CR41" s="219"/>
      <c r="CS41" s="219"/>
      <c r="CT41" s="219"/>
      <c r="CU41" s="219"/>
      <c r="CV41" s="219"/>
      <c r="CW41" s="219"/>
      <c r="CX41" s="219"/>
      <c r="CY41" s="219"/>
    </row>
    <row r="42" spans="1:103" s="205" customFormat="1" ht="74.25" hidden="1" customHeight="1" x14ac:dyDescent="0.3">
      <c r="A42" s="272"/>
      <c r="B42" s="272"/>
      <c r="C42" s="272"/>
      <c r="D42" s="225" t="s">
        <v>387</v>
      </c>
      <c r="E42" s="226">
        <v>0</v>
      </c>
      <c r="F42" s="226">
        <v>0</v>
      </c>
      <c r="G42" s="192">
        <v>0</v>
      </c>
      <c r="H42" s="192">
        <v>2</v>
      </c>
      <c r="I42" s="185" t="s">
        <v>571</v>
      </c>
      <c r="J42" s="185" t="s">
        <v>149</v>
      </c>
      <c r="K42" s="185" t="s">
        <v>592</v>
      </c>
      <c r="L42" s="182" t="s">
        <v>593</v>
      </c>
      <c r="M42" s="185" t="s">
        <v>389</v>
      </c>
      <c r="N42" s="185" t="s">
        <v>389</v>
      </c>
      <c r="O42" s="182" t="s">
        <v>645</v>
      </c>
      <c r="P42" s="185">
        <v>0</v>
      </c>
      <c r="Q42" s="185"/>
      <c r="R42" s="191" t="s">
        <v>387</v>
      </c>
      <c r="S42" s="185">
        <v>2</v>
      </c>
      <c r="T42" s="185">
        <v>3</v>
      </c>
      <c r="U42" s="185">
        <f t="shared" ref="U42:U44" si="14">S42*T42</f>
        <v>6</v>
      </c>
      <c r="V42" s="186" t="str">
        <f>VLOOKUP(U42,BZ252:CA263,2)</f>
        <v>Medio</v>
      </c>
      <c r="W42" s="185">
        <v>25</v>
      </c>
      <c r="X42" s="185">
        <f t="shared" si="2"/>
        <v>150</v>
      </c>
      <c r="Y42" s="185" t="str">
        <f>VLOOKUP(X42,CC253:CF276,2)</f>
        <v>II Corregir y adoptar medidas de control inmediato.  Sin embargo, suspenda actividades si el nivel de consecuencia está por encima de 60.</v>
      </c>
      <c r="Z42" s="185" t="str">
        <f>VLOOKUP(X42,CC253:CG276,3)</f>
        <v>No Aceptable</v>
      </c>
      <c r="AA42" s="185"/>
      <c r="AB42" s="185"/>
      <c r="AC42" s="185"/>
      <c r="AD42" s="185" t="s">
        <v>595</v>
      </c>
      <c r="AE42" s="185" t="s">
        <v>596</v>
      </c>
      <c r="AF42" s="150"/>
      <c r="AG42" s="212"/>
      <c r="AH42" s="212"/>
      <c r="AI42" s="213">
        <v>2</v>
      </c>
      <c r="AJ42" s="214">
        <v>2</v>
      </c>
      <c r="AK42" s="215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7"/>
      <c r="AY42" s="217"/>
      <c r="AZ42" s="217"/>
      <c r="BA42" s="217"/>
      <c r="BB42" s="217"/>
      <c r="BC42" s="217"/>
      <c r="BD42" s="217"/>
      <c r="BE42" s="217"/>
      <c r="BF42" s="217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8"/>
      <c r="BW42" s="219"/>
      <c r="BX42" s="219"/>
      <c r="BY42" s="219"/>
      <c r="BZ42" s="219"/>
      <c r="CA42" s="219"/>
      <c r="CB42" s="219"/>
      <c r="CC42" s="219"/>
      <c r="CD42" s="219"/>
      <c r="CE42" s="219"/>
      <c r="CF42" s="219"/>
      <c r="CG42" s="219"/>
      <c r="CH42" s="219"/>
      <c r="CI42" s="219"/>
      <c r="CJ42" s="219"/>
      <c r="CK42" s="219"/>
      <c r="CL42" s="219"/>
      <c r="CM42" s="219"/>
      <c r="CN42" s="219"/>
      <c r="CO42" s="219"/>
      <c r="CP42" s="219"/>
      <c r="CQ42" s="219"/>
      <c r="CR42" s="219"/>
      <c r="CS42" s="219"/>
      <c r="CT42" s="219"/>
      <c r="CU42" s="219"/>
      <c r="CV42" s="219"/>
      <c r="CW42" s="219"/>
      <c r="CX42" s="219"/>
      <c r="CY42" s="219"/>
    </row>
    <row r="43" spans="1:103" s="205" customFormat="1" ht="74.25" hidden="1" customHeight="1" x14ac:dyDescent="0.3">
      <c r="A43" s="272"/>
      <c r="B43" s="272"/>
      <c r="C43" s="272"/>
      <c r="D43" s="225" t="s">
        <v>387</v>
      </c>
      <c r="E43" s="226">
        <v>0</v>
      </c>
      <c r="F43" s="226">
        <v>0</v>
      </c>
      <c r="G43" s="192">
        <v>0</v>
      </c>
      <c r="H43" s="192">
        <v>2</v>
      </c>
      <c r="I43" s="192" t="s">
        <v>125</v>
      </c>
      <c r="J43" s="192" t="s">
        <v>191</v>
      </c>
      <c r="K43" s="192" t="s">
        <v>623</v>
      </c>
      <c r="L43" s="192" t="s">
        <v>624</v>
      </c>
      <c r="M43" s="192" t="s">
        <v>389</v>
      </c>
      <c r="N43" s="192" t="s">
        <v>389</v>
      </c>
      <c r="O43" s="192" t="s">
        <v>420</v>
      </c>
      <c r="P43" s="192">
        <v>0</v>
      </c>
      <c r="Q43" s="192"/>
      <c r="R43" s="193" t="s">
        <v>387</v>
      </c>
      <c r="S43" s="192">
        <v>2</v>
      </c>
      <c r="T43" s="192">
        <v>3</v>
      </c>
      <c r="U43" s="188">
        <f t="shared" si="14"/>
        <v>6</v>
      </c>
      <c r="V43" s="186" t="str">
        <f>VLOOKUP(U43,BZ253:CA264,2)</f>
        <v>Medio</v>
      </c>
      <c r="W43" s="192">
        <v>10</v>
      </c>
      <c r="X43" s="188">
        <f t="shared" si="2"/>
        <v>60</v>
      </c>
      <c r="Y43" s="185" t="str">
        <f>VLOOKUP(X43,CC254:CF277,2)</f>
        <v xml:space="preserve">III Mejorar si es posible.  Sería conveniente justificar la intervención y su rentabilidad. </v>
      </c>
      <c r="Z43" s="185" t="str">
        <f>VLOOKUP(X43,CC254:CG277,3)</f>
        <v>Aceptable</v>
      </c>
      <c r="AA43" s="192"/>
      <c r="AB43" s="192"/>
      <c r="AC43" s="192"/>
      <c r="AD43" s="192" t="s">
        <v>646</v>
      </c>
      <c r="AE43" s="192" t="s">
        <v>389</v>
      </c>
      <c r="AF43" s="151"/>
      <c r="AG43" s="151"/>
      <c r="AH43" s="151"/>
      <c r="AI43" s="154"/>
      <c r="AJ43" s="148"/>
      <c r="AK43" s="20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7"/>
      <c r="AY43" s="217"/>
      <c r="AZ43" s="217"/>
      <c r="BA43" s="217"/>
      <c r="BB43" s="217"/>
      <c r="BC43" s="217"/>
      <c r="BD43" s="217"/>
      <c r="BE43" s="217"/>
      <c r="BF43" s="217"/>
      <c r="BG43" s="217"/>
      <c r="BH43" s="217"/>
      <c r="BI43" s="217"/>
      <c r="BJ43" s="217"/>
      <c r="BK43" s="217"/>
      <c r="BL43" s="217"/>
      <c r="BM43" s="217"/>
      <c r="BN43" s="217"/>
      <c r="BO43" s="217"/>
      <c r="BP43" s="217"/>
      <c r="BQ43" s="217"/>
      <c r="BR43" s="217"/>
      <c r="BS43" s="217"/>
      <c r="BT43" s="217"/>
      <c r="BU43" s="217"/>
      <c r="BV43" s="218"/>
      <c r="BW43" s="219"/>
      <c r="BX43" s="219"/>
      <c r="BY43" s="219"/>
      <c r="BZ43" s="219"/>
      <c r="CA43" s="219"/>
      <c r="CB43" s="219"/>
      <c r="CC43" s="219"/>
      <c r="CD43" s="219"/>
      <c r="CE43" s="219"/>
      <c r="CF43" s="219"/>
      <c r="CG43" s="219"/>
      <c r="CH43" s="219"/>
      <c r="CI43" s="219"/>
      <c r="CJ43" s="219"/>
      <c r="CK43" s="219"/>
      <c r="CL43" s="219"/>
      <c r="CM43" s="219"/>
      <c r="CN43" s="219"/>
      <c r="CO43" s="219"/>
      <c r="CP43" s="219"/>
      <c r="CQ43" s="219"/>
      <c r="CR43" s="219"/>
      <c r="CS43" s="219"/>
      <c r="CT43" s="219"/>
      <c r="CU43" s="219"/>
      <c r="CV43" s="219"/>
      <c r="CW43" s="219"/>
      <c r="CX43" s="219"/>
      <c r="CY43" s="219"/>
    </row>
    <row r="44" spans="1:103" s="205" customFormat="1" ht="74.25" hidden="1" customHeight="1" x14ac:dyDescent="0.3">
      <c r="A44" s="272"/>
      <c r="B44" s="272"/>
      <c r="C44" s="272"/>
      <c r="D44" s="225" t="s">
        <v>387</v>
      </c>
      <c r="E44" s="226">
        <v>0</v>
      </c>
      <c r="F44" s="226">
        <v>0</v>
      </c>
      <c r="G44" s="192">
        <v>0</v>
      </c>
      <c r="H44" s="192">
        <v>2</v>
      </c>
      <c r="I44" s="192" t="s">
        <v>135</v>
      </c>
      <c r="J44" s="192" t="s">
        <v>388</v>
      </c>
      <c r="K44" s="186" t="s">
        <v>605</v>
      </c>
      <c r="L44" s="186" t="s">
        <v>410</v>
      </c>
      <c r="M44" s="186" t="s">
        <v>389</v>
      </c>
      <c r="N44" s="186" t="s">
        <v>606</v>
      </c>
      <c r="O44" s="186" t="s">
        <v>411</v>
      </c>
      <c r="P44" s="192">
        <v>0</v>
      </c>
      <c r="Q44" s="192"/>
      <c r="R44" s="193" t="s">
        <v>387</v>
      </c>
      <c r="S44" s="192">
        <v>2</v>
      </c>
      <c r="T44" s="192">
        <v>4</v>
      </c>
      <c r="U44" s="185">
        <f t="shared" si="14"/>
        <v>8</v>
      </c>
      <c r="V44" s="186" t="str">
        <f>VLOOKUP(U44,BZ254:CA265,2)</f>
        <v>Medio</v>
      </c>
      <c r="W44" s="192">
        <v>10</v>
      </c>
      <c r="X44" s="185">
        <f t="shared" si="2"/>
        <v>80</v>
      </c>
      <c r="Y44" s="185" t="str">
        <f>VLOOKUP(X44,CC255:CF278,2)</f>
        <v xml:space="preserve">III Mejorar si es posible.  Sería conveniente justificar la intervención y su rentabilidad. </v>
      </c>
      <c r="Z44" s="185" t="str">
        <f>VLOOKUP(X44,CC255:CG278,3)</f>
        <v>Aceptable</v>
      </c>
      <c r="AA44" s="192"/>
      <c r="AB44" s="192"/>
      <c r="AC44" s="192"/>
      <c r="AD44" s="186" t="s">
        <v>647</v>
      </c>
      <c r="AE44" s="186" t="s">
        <v>412</v>
      </c>
      <c r="AF44" s="151"/>
      <c r="AG44" s="222"/>
      <c r="AH44" s="222"/>
      <c r="AI44" s="154">
        <v>1</v>
      </c>
      <c r="AJ44" s="147"/>
      <c r="AK44" s="224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7"/>
      <c r="AY44" s="217"/>
      <c r="AZ44" s="217"/>
      <c r="BA44" s="217"/>
      <c r="BB44" s="217"/>
      <c r="BC44" s="217"/>
      <c r="BD44" s="217"/>
      <c r="BE44" s="217"/>
      <c r="BF44" s="217"/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8"/>
      <c r="BW44" s="219"/>
      <c r="BX44" s="219"/>
      <c r="BY44" s="219"/>
      <c r="BZ44" s="219"/>
      <c r="CA44" s="219"/>
      <c r="CB44" s="219"/>
      <c r="CC44" s="219"/>
      <c r="CD44" s="219"/>
      <c r="CE44" s="219"/>
      <c r="CF44" s="219"/>
      <c r="CG44" s="219"/>
      <c r="CH44" s="219"/>
      <c r="CI44" s="219"/>
      <c r="CJ44" s="219"/>
      <c r="CK44" s="219"/>
      <c r="CL44" s="219"/>
      <c r="CM44" s="219"/>
      <c r="CN44" s="219"/>
      <c r="CO44" s="219"/>
      <c r="CP44" s="219"/>
      <c r="CQ44" s="219"/>
      <c r="CR44" s="219"/>
      <c r="CS44" s="219"/>
      <c r="CT44" s="219"/>
      <c r="CU44" s="219"/>
      <c r="CV44" s="219"/>
      <c r="CW44" s="219"/>
      <c r="CX44" s="219"/>
      <c r="CY44" s="219"/>
    </row>
    <row r="45" spans="1:103" s="205" customFormat="1" ht="74.25" hidden="1" customHeight="1" x14ac:dyDescent="0.3">
      <c r="A45" s="272"/>
      <c r="B45" s="272"/>
      <c r="C45" s="272"/>
      <c r="D45" s="225" t="s">
        <v>387</v>
      </c>
      <c r="E45" s="226">
        <v>0</v>
      </c>
      <c r="F45" s="226">
        <v>0</v>
      </c>
      <c r="G45" s="192">
        <v>0</v>
      </c>
      <c r="H45" s="192">
        <v>2</v>
      </c>
      <c r="I45" s="192" t="s">
        <v>135</v>
      </c>
      <c r="J45" s="192" t="s">
        <v>219</v>
      </c>
      <c r="K45" s="186" t="s">
        <v>608</v>
      </c>
      <c r="L45" s="186" t="s">
        <v>392</v>
      </c>
      <c r="M45" s="186" t="s">
        <v>413</v>
      </c>
      <c r="N45" s="186" t="s">
        <v>414</v>
      </c>
      <c r="O45" s="186" t="s">
        <v>415</v>
      </c>
      <c r="P45" s="192">
        <v>0</v>
      </c>
      <c r="Q45" s="192"/>
      <c r="R45" s="193" t="s">
        <v>387</v>
      </c>
      <c r="S45" s="192">
        <v>2</v>
      </c>
      <c r="T45" s="192">
        <v>4</v>
      </c>
      <c r="U45" s="185">
        <v>8</v>
      </c>
      <c r="V45" s="186" t="str">
        <f>VLOOKUP(U45,BZ255:CA266,2)</f>
        <v>Medio</v>
      </c>
      <c r="W45" s="192">
        <v>60</v>
      </c>
      <c r="X45" s="185">
        <f t="shared" si="2"/>
        <v>480</v>
      </c>
      <c r="Y45" s="185" t="str">
        <f>VLOOKUP(X45,CC256:CF279,2)</f>
        <v>II Corregir y adoptar medidas de control inmediato.  Sin embargo, suspenda actividades si el nivel de consecuencia está por encima de 60.</v>
      </c>
      <c r="Z45" s="185" t="str">
        <f>VLOOKUP(X45,CC256:CG279,3)</f>
        <v>No Aceptable</v>
      </c>
      <c r="AA45" s="192"/>
      <c r="AB45" s="192"/>
      <c r="AC45" s="192"/>
      <c r="AD45" s="186" t="s">
        <v>416</v>
      </c>
      <c r="AE45" s="186" t="s">
        <v>609</v>
      </c>
      <c r="AF45" s="156"/>
      <c r="AG45" s="222"/>
      <c r="AH45" s="227"/>
      <c r="AI45" s="228">
        <v>3</v>
      </c>
      <c r="AJ45" s="147"/>
      <c r="AK45" s="224"/>
      <c r="AL45" s="216"/>
      <c r="AM45" s="216"/>
      <c r="AN45" s="216"/>
      <c r="AO45" s="216"/>
      <c r="AP45" s="216"/>
      <c r="AQ45" s="216"/>
      <c r="AR45" s="216"/>
      <c r="AS45" s="216"/>
      <c r="AT45" s="216"/>
      <c r="AU45" s="216"/>
      <c r="AV45" s="216"/>
      <c r="AW45" s="216"/>
      <c r="AX45" s="217"/>
      <c r="AY45" s="217"/>
      <c r="AZ45" s="217"/>
      <c r="BA45" s="217"/>
      <c r="BB45" s="217"/>
      <c r="BC45" s="217"/>
      <c r="BD45" s="217"/>
      <c r="BE45" s="217"/>
      <c r="BF45" s="217"/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8"/>
      <c r="BW45" s="219"/>
      <c r="BX45" s="219"/>
      <c r="BY45" s="219"/>
      <c r="BZ45" s="219"/>
      <c r="CA45" s="219"/>
      <c r="CB45" s="219"/>
      <c r="CC45" s="219"/>
      <c r="CD45" s="219"/>
      <c r="CE45" s="219"/>
      <c r="CF45" s="219"/>
      <c r="CG45" s="219"/>
      <c r="CH45" s="219"/>
      <c r="CI45" s="219"/>
      <c r="CJ45" s="219"/>
      <c r="CK45" s="219"/>
      <c r="CL45" s="219"/>
      <c r="CM45" s="219"/>
      <c r="CN45" s="219"/>
      <c r="CO45" s="219"/>
      <c r="CP45" s="219"/>
      <c r="CQ45" s="219"/>
      <c r="CR45" s="219"/>
      <c r="CS45" s="219"/>
      <c r="CT45" s="219"/>
      <c r="CU45" s="219"/>
      <c r="CV45" s="219"/>
      <c r="CW45" s="219"/>
      <c r="CX45" s="219"/>
      <c r="CY45" s="219"/>
    </row>
    <row r="46" spans="1:103" s="205" customFormat="1" ht="74.25" hidden="1" customHeight="1" x14ac:dyDescent="0.3">
      <c r="A46" s="273"/>
      <c r="B46" s="273"/>
      <c r="C46" s="273"/>
      <c r="D46" s="225" t="s">
        <v>387</v>
      </c>
      <c r="E46" s="226">
        <v>0</v>
      </c>
      <c r="F46" s="226">
        <v>0</v>
      </c>
      <c r="G46" s="192">
        <v>0</v>
      </c>
      <c r="H46" s="192">
        <v>2</v>
      </c>
      <c r="I46" s="192" t="s">
        <v>135</v>
      </c>
      <c r="J46" s="192" t="s">
        <v>437</v>
      </c>
      <c r="K46" s="192" t="s">
        <v>438</v>
      </c>
      <c r="L46" s="182" t="s">
        <v>439</v>
      </c>
      <c r="M46" s="192" t="s">
        <v>389</v>
      </c>
      <c r="N46" s="186" t="s">
        <v>648</v>
      </c>
      <c r="O46" s="192" t="s">
        <v>649</v>
      </c>
      <c r="P46" s="192">
        <v>0</v>
      </c>
      <c r="Q46" s="192"/>
      <c r="R46" s="193" t="s">
        <v>387</v>
      </c>
      <c r="S46" s="192">
        <v>6</v>
      </c>
      <c r="T46" s="192">
        <v>3</v>
      </c>
      <c r="U46" s="185">
        <f t="shared" ref="U46" si="15">S46*T46</f>
        <v>18</v>
      </c>
      <c r="V46" s="246" t="str">
        <f t="shared" ref="V46:V52" si="16">VLOOKUP(U46,BZ251:CA262,2)</f>
        <v>Alto</v>
      </c>
      <c r="W46" s="192">
        <v>25</v>
      </c>
      <c r="X46" s="185">
        <f t="shared" si="2"/>
        <v>450</v>
      </c>
      <c r="Y46" s="186" t="str">
        <f>VLOOKUP(X46,CC252:CF275,2)</f>
        <v>II Corregir y adoptar medidas de control inmediato.  Sin embargo, suspenda actividades si el nivel de consecuencia está por encima de 60.</v>
      </c>
      <c r="Z46" s="185" t="str">
        <f>VLOOKUP(X46,CC252:CG275,3)</f>
        <v>No Aceptable</v>
      </c>
      <c r="AA46" s="192"/>
      <c r="AB46" s="192"/>
      <c r="AC46" s="192"/>
      <c r="AD46" s="192" t="s">
        <v>440</v>
      </c>
      <c r="AE46" s="192" t="s">
        <v>389</v>
      </c>
      <c r="AF46" s="156"/>
      <c r="AG46" s="227"/>
      <c r="AH46" s="227"/>
      <c r="AI46" s="228">
        <v>2</v>
      </c>
      <c r="AJ46" s="147"/>
      <c r="AK46" s="224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217"/>
      <c r="AY46" s="217"/>
      <c r="AZ46" s="217"/>
      <c r="BA46" s="217"/>
      <c r="BB46" s="217"/>
      <c r="BC46" s="217"/>
      <c r="BD46" s="217"/>
      <c r="BE46" s="217"/>
      <c r="BF46" s="217"/>
      <c r="BG46" s="217"/>
      <c r="BH46" s="217"/>
      <c r="BI46" s="217"/>
      <c r="BJ46" s="217"/>
      <c r="BK46" s="217"/>
      <c r="BL46" s="217"/>
      <c r="BM46" s="217"/>
      <c r="BN46" s="217"/>
      <c r="BO46" s="217"/>
      <c r="BP46" s="217"/>
      <c r="BQ46" s="217"/>
      <c r="BR46" s="217"/>
      <c r="BS46" s="217"/>
      <c r="BT46" s="217"/>
      <c r="BU46" s="217"/>
      <c r="BV46" s="218"/>
      <c r="BW46" s="219"/>
      <c r="BX46" s="219"/>
      <c r="BY46" s="219"/>
      <c r="BZ46" s="219"/>
      <c r="CA46" s="219"/>
      <c r="CB46" s="219"/>
      <c r="CC46" s="219"/>
      <c r="CD46" s="219"/>
      <c r="CE46" s="219"/>
      <c r="CF46" s="219"/>
      <c r="CG46" s="219"/>
      <c r="CH46" s="219"/>
      <c r="CI46" s="219"/>
      <c r="CJ46" s="219"/>
      <c r="CK46" s="219"/>
      <c r="CL46" s="219"/>
      <c r="CM46" s="219"/>
      <c r="CN46" s="219"/>
      <c r="CO46" s="219"/>
      <c r="CP46" s="219"/>
      <c r="CQ46" s="219"/>
      <c r="CR46" s="219"/>
      <c r="CS46" s="219"/>
      <c r="CT46" s="219"/>
      <c r="CU46" s="219"/>
      <c r="CV46" s="219"/>
      <c r="CW46" s="219"/>
      <c r="CX46" s="219"/>
      <c r="CY46" s="219"/>
    </row>
    <row r="47" spans="1:103" s="205" customFormat="1" ht="74.25" customHeight="1" x14ac:dyDescent="0.3">
      <c r="A47" s="278" t="s">
        <v>441</v>
      </c>
      <c r="B47" s="274" t="s">
        <v>650</v>
      </c>
      <c r="C47" s="274" t="s">
        <v>651</v>
      </c>
      <c r="D47" s="210" t="s">
        <v>387</v>
      </c>
      <c r="E47" s="189">
        <v>0</v>
      </c>
      <c r="F47" s="236">
        <v>0</v>
      </c>
      <c r="G47" s="235">
        <v>0</v>
      </c>
      <c r="H47" s="235">
        <v>1</v>
      </c>
      <c r="I47" s="232" t="s">
        <v>585</v>
      </c>
      <c r="J47" s="186" t="s">
        <v>111</v>
      </c>
      <c r="K47" s="186" t="s">
        <v>586</v>
      </c>
      <c r="L47" s="211" t="s">
        <v>539</v>
      </c>
      <c r="M47" s="186" t="s">
        <v>389</v>
      </c>
      <c r="N47" s="186" t="s">
        <v>540</v>
      </c>
      <c r="O47" s="186" t="s">
        <v>587</v>
      </c>
      <c r="P47" s="186">
        <v>0</v>
      </c>
      <c r="Q47" s="186" t="s">
        <v>389</v>
      </c>
      <c r="R47" s="190" t="s">
        <v>387</v>
      </c>
      <c r="S47" s="186">
        <v>2</v>
      </c>
      <c r="T47" s="186">
        <v>2</v>
      </c>
      <c r="U47" s="251">
        <f>S47*T47</f>
        <v>4</v>
      </c>
      <c r="V47" s="240" t="str">
        <f t="shared" si="16"/>
        <v>Bajo</v>
      </c>
      <c r="W47" s="232">
        <v>25</v>
      </c>
      <c r="X47" s="251">
        <f t="shared" si="2"/>
        <v>100</v>
      </c>
      <c r="Y47" s="186" t="str">
        <f>VLOOKUP(X47,CC253:CF276,2)</f>
        <v xml:space="preserve">III Mejorar si es posible.  Sería conveniente justificar la intervención y su rentabilidad. </v>
      </c>
      <c r="Z47" s="185" t="str">
        <f>VLOOKUP(X47,CC253:CG276,3)</f>
        <v>Aceptable</v>
      </c>
      <c r="AA47" s="232" t="s">
        <v>389</v>
      </c>
      <c r="AB47" s="186" t="s">
        <v>389</v>
      </c>
      <c r="AC47" s="186" t="s">
        <v>389</v>
      </c>
      <c r="AD47" s="186" t="s">
        <v>588</v>
      </c>
      <c r="AE47" s="186" t="s">
        <v>398</v>
      </c>
      <c r="AF47" s="151"/>
      <c r="AG47" s="151"/>
      <c r="AH47" s="151"/>
      <c r="AI47" s="154">
        <v>1</v>
      </c>
      <c r="AJ47" s="148">
        <v>1</v>
      </c>
      <c r="AK47" s="20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7"/>
      <c r="AY47" s="217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17"/>
      <c r="BM47" s="217"/>
      <c r="BN47" s="217"/>
      <c r="BO47" s="217"/>
      <c r="BP47" s="217"/>
      <c r="BQ47" s="217"/>
      <c r="BR47" s="217"/>
      <c r="BS47" s="217"/>
      <c r="BT47" s="217"/>
      <c r="BU47" s="217"/>
      <c r="BV47" s="218"/>
      <c r="BW47" s="219"/>
      <c r="BX47" s="219"/>
      <c r="BY47" s="219"/>
      <c r="BZ47" s="219"/>
      <c r="CA47" s="219"/>
      <c r="CB47" s="219"/>
      <c r="CC47" s="219"/>
      <c r="CD47" s="219"/>
      <c r="CE47" s="219"/>
      <c r="CF47" s="219"/>
      <c r="CG47" s="219"/>
      <c r="CH47" s="219"/>
      <c r="CI47" s="219"/>
      <c r="CJ47" s="219"/>
      <c r="CK47" s="219"/>
      <c r="CL47" s="219"/>
      <c r="CM47" s="219"/>
      <c r="CN47" s="219"/>
      <c r="CO47" s="219"/>
      <c r="CP47" s="219"/>
      <c r="CQ47" s="219"/>
      <c r="CR47" s="219"/>
      <c r="CS47" s="219"/>
      <c r="CT47" s="219"/>
      <c r="CU47" s="219"/>
      <c r="CV47" s="219"/>
      <c r="CW47" s="219"/>
      <c r="CX47" s="219"/>
      <c r="CY47" s="219"/>
    </row>
    <row r="48" spans="1:103" s="205" customFormat="1" ht="74.25" customHeight="1" x14ac:dyDescent="0.3">
      <c r="A48" s="272"/>
      <c r="B48" s="272"/>
      <c r="C48" s="272"/>
      <c r="D48" s="225" t="s">
        <v>387</v>
      </c>
      <c r="E48" s="226">
        <v>0</v>
      </c>
      <c r="F48" s="226">
        <v>0</v>
      </c>
      <c r="G48" s="192">
        <v>0</v>
      </c>
      <c r="H48" s="192">
        <v>1</v>
      </c>
      <c r="I48" s="185" t="s">
        <v>566</v>
      </c>
      <c r="J48" s="185" t="s">
        <v>179</v>
      </c>
      <c r="K48" s="186" t="s">
        <v>435</v>
      </c>
      <c r="L48" s="182" t="s">
        <v>589</v>
      </c>
      <c r="M48" s="185" t="s">
        <v>389</v>
      </c>
      <c r="N48" s="185" t="s">
        <v>590</v>
      </c>
      <c r="O48" s="185" t="s">
        <v>551</v>
      </c>
      <c r="P48" s="185">
        <v>0</v>
      </c>
      <c r="Q48" s="186" t="s">
        <v>389</v>
      </c>
      <c r="R48" s="191" t="s">
        <v>387</v>
      </c>
      <c r="S48" s="185">
        <v>2</v>
      </c>
      <c r="T48" s="185">
        <v>2</v>
      </c>
      <c r="U48" s="185">
        <f>SUM(S48*T48)</f>
        <v>4</v>
      </c>
      <c r="V48" s="252" t="str">
        <f t="shared" si="16"/>
        <v>Bajo</v>
      </c>
      <c r="W48" s="185">
        <v>10</v>
      </c>
      <c r="X48" s="185">
        <f t="shared" si="2"/>
        <v>40</v>
      </c>
      <c r="Y48" s="186" t="str">
        <f>VLOOKUP(X48,CC254:CF277,2)</f>
        <v xml:space="preserve">III Mejorar si es posible.  Sería conveniente justificar la intervención y su rentabilidad. </v>
      </c>
      <c r="Z48" s="185" t="str">
        <f>VLOOKUP(X48,CC254:CG277,3)</f>
        <v>Aceptable</v>
      </c>
      <c r="AA48" s="232" t="s">
        <v>389</v>
      </c>
      <c r="AB48" s="232" t="s">
        <v>389</v>
      </c>
      <c r="AC48" s="232" t="s">
        <v>389</v>
      </c>
      <c r="AD48" s="186" t="s">
        <v>652</v>
      </c>
      <c r="AE48" s="186" t="s">
        <v>552</v>
      </c>
      <c r="AF48" s="151"/>
      <c r="AG48" s="151"/>
      <c r="AH48" s="151"/>
      <c r="AI48" s="154">
        <v>2</v>
      </c>
      <c r="AJ48" s="148">
        <v>2</v>
      </c>
      <c r="AK48" s="206"/>
      <c r="AL48" s="216"/>
      <c r="AM48" s="216"/>
      <c r="AN48" s="216"/>
      <c r="AO48" s="216"/>
      <c r="AP48" s="216"/>
      <c r="AQ48" s="216"/>
      <c r="AR48" s="216"/>
      <c r="AS48" s="216"/>
      <c r="AT48" s="216"/>
      <c r="AU48" s="216"/>
      <c r="AV48" s="216"/>
      <c r="AW48" s="216"/>
      <c r="AX48" s="217"/>
      <c r="AY48" s="217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17"/>
      <c r="BM48" s="217"/>
      <c r="BN48" s="217"/>
      <c r="BO48" s="217"/>
      <c r="BP48" s="217"/>
      <c r="BQ48" s="217"/>
      <c r="BR48" s="217"/>
      <c r="BS48" s="217"/>
      <c r="BT48" s="217"/>
      <c r="BU48" s="217"/>
      <c r="BV48" s="218"/>
      <c r="BW48" s="219"/>
      <c r="BX48" s="219"/>
      <c r="BY48" s="219"/>
      <c r="BZ48" s="219"/>
      <c r="CA48" s="219"/>
      <c r="CB48" s="219"/>
      <c r="CC48" s="219"/>
      <c r="CD48" s="219"/>
      <c r="CE48" s="219"/>
      <c r="CF48" s="219"/>
      <c r="CG48" s="219"/>
      <c r="CH48" s="219"/>
      <c r="CI48" s="219"/>
      <c r="CJ48" s="219"/>
      <c r="CK48" s="219"/>
      <c r="CL48" s="219"/>
      <c r="CM48" s="219"/>
      <c r="CN48" s="219"/>
      <c r="CO48" s="219"/>
      <c r="CP48" s="219"/>
      <c r="CQ48" s="219"/>
      <c r="CR48" s="219"/>
      <c r="CS48" s="219"/>
      <c r="CT48" s="219"/>
      <c r="CU48" s="219"/>
      <c r="CV48" s="219"/>
      <c r="CW48" s="219"/>
      <c r="CX48" s="219"/>
      <c r="CY48" s="219"/>
    </row>
    <row r="49" spans="1:103" s="205" customFormat="1" ht="105" customHeight="1" x14ac:dyDescent="0.3">
      <c r="A49" s="272"/>
      <c r="B49" s="272"/>
      <c r="C49" s="272"/>
      <c r="D49" s="225" t="s">
        <v>387</v>
      </c>
      <c r="E49" s="226">
        <v>0</v>
      </c>
      <c r="F49" s="226">
        <v>0</v>
      </c>
      <c r="G49" s="192">
        <v>0</v>
      </c>
      <c r="H49" s="192">
        <v>1</v>
      </c>
      <c r="I49" s="185" t="s">
        <v>571</v>
      </c>
      <c r="J49" s="185" t="s">
        <v>149</v>
      </c>
      <c r="K49" s="185" t="s">
        <v>592</v>
      </c>
      <c r="L49" s="182" t="s">
        <v>593</v>
      </c>
      <c r="M49" s="185" t="s">
        <v>389</v>
      </c>
      <c r="N49" s="185" t="s">
        <v>389</v>
      </c>
      <c r="O49" s="182" t="s">
        <v>653</v>
      </c>
      <c r="P49" s="185">
        <v>0</v>
      </c>
      <c r="Q49" s="186" t="s">
        <v>389</v>
      </c>
      <c r="R49" s="191" t="s">
        <v>387</v>
      </c>
      <c r="S49" s="185">
        <v>2</v>
      </c>
      <c r="T49" s="185">
        <v>3</v>
      </c>
      <c r="U49" s="185">
        <f t="shared" ref="U49:U52" si="17">S49*T49</f>
        <v>6</v>
      </c>
      <c r="V49" s="186" t="str">
        <f t="shared" si="16"/>
        <v>Medio</v>
      </c>
      <c r="W49" s="185">
        <v>25</v>
      </c>
      <c r="X49" s="185">
        <f t="shared" si="2"/>
        <v>150</v>
      </c>
      <c r="Y49" s="185" t="str">
        <f>VLOOKUP(X49,CC260:CF283,2)</f>
        <v>II Corregir y adoptar medidas de control inmediato.  Sin embargo, suspenda actividades si el nivel de consecuencia está por encima de 60.</v>
      </c>
      <c r="Z49" s="185" t="str">
        <f>VLOOKUP(X49,CC260:CG283,3)</f>
        <v>No Aceptable</v>
      </c>
      <c r="AA49" s="232" t="s">
        <v>389</v>
      </c>
      <c r="AB49" s="232" t="s">
        <v>389</v>
      </c>
      <c r="AC49" s="232" t="s">
        <v>389</v>
      </c>
      <c r="AD49" s="185" t="s">
        <v>595</v>
      </c>
      <c r="AE49" s="185" t="s">
        <v>596</v>
      </c>
      <c r="AF49" s="151"/>
      <c r="AG49" s="151"/>
      <c r="AH49" s="151"/>
      <c r="AI49" s="154">
        <v>2</v>
      </c>
      <c r="AJ49" s="148">
        <v>2</v>
      </c>
      <c r="AK49" s="20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7"/>
      <c r="AY49" s="217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8"/>
      <c r="BW49" s="219"/>
      <c r="BX49" s="219"/>
      <c r="BY49" s="219"/>
      <c r="BZ49" s="219"/>
      <c r="CA49" s="219"/>
      <c r="CB49" s="219"/>
      <c r="CC49" s="219"/>
      <c r="CD49" s="219"/>
      <c r="CE49" s="219"/>
      <c r="CF49" s="219"/>
      <c r="CG49" s="219"/>
      <c r="CH49" s="219"/>
      <c r="CI49" s="219"/>
      <c r="CJ49" s="219"/>
      <c r="CK49" s="219"/>
      <c r="CL49" s="219"/>
      <c r="CM49" s="219"/>
      <c r="CN49" s="219"/>
      <c r="CO49" s="219"/>
      <c r="CP49" s="219"/>
      <c r="CQ49" s="219"/>
      <c r="CR49" s="219"/>
      <c r="CS49" s="219"/>
      <c r="CT49" s="219"/>
      <c r="CU49" s="219"/>
      <c r="CV49" s="219"/>
      <c r="CW49" s="219"/>
      <c r="CX49" s="219"/>
      <c r="CY49" s="219"/>
    </row>
    <row r="50" spans="1:103" s="205" customFormat="1" ht="74.25" customHeight="1" x14ac:dyDescent="0.3">
      <c r="A50" s="272"/>
      <c r="B50" s="272"/>
      <c r="C50" s="272"/>
      <c r="D50" s="225" t="s">
        <v>387</v>
      </c>
      <c r="E50" s="226">
        <v>0</v>
      </c>
      <c r="F50" s="226">
        <v>0</v>
      </c>
      <c r="G50" s="192">
        <v>0</v>
      </c>
      <c r="H50" s="192">
        <v>1</v>
      </c>
      <c r="I50" s="186" t="s">
        <v>125</v>
      </c>
      <c r="J50" s="186" t="s">
        <v>191</v>
      </c>
      <c r="K50" s="186" t="s">
        <v>623</v>
      </c>
      <c r="L50" s="186" t="s">
        <v>624</v>
      </c>
      <c r="M50" s="186" t="s">
        <v>389</v>
      </c>
      <c r="N50" s="186" t="s">
        <v>654</v>
      </c>
      <c r="O50" s="186" t="s">
        <v>546</v>
      </c>
      <c r="P50" s="186">
        <v>0</v>
      </c>
      <c r="Q50" s="186" t="s">
        <v>389</v>
      </c>
      <c r="R50" s="190" t="s">
        <v>387</v>
      </c>
      <c r="S50" s="186">
        <v>2</v>
      </c>
      <c r="T50" s="186">
        <v>3</v>
      </c>
      <c r="U50" s="186">
        <f t="shared" si="17"/>
        <v>6</v>
      </c>
      <c r="V50" s="186" t="str">
        <f t="shared" si="16"/>
        <v>Medio</v>
      </c>
      <c r="W50" s="186">
        <v>10</v>
      </c>
      <c r="X50" s="186">
        <f t="shared" si="2"/>
        <v>60</v>
      </c>
      <c r="Y50" s="186" t="str">
        <f>VLOOKUP(X50,CC256:CF279,2)</f>
        <v xml:space="preserve">III Mejorar si es posible.  Sería conveniente justificar la intervención y su rentabilidad. </v>
      </c>
      <c r="Z50" s="186" t="str">
        <f>VLOOKUP(X50,CC256:CG279,3)</f>
        <v>Aceptable</v>
      </c>
      <c r="AA50" s="232" t="s">
        <v>389</v>
      </c>
      <c r="AB50" s="232" t="s">
        <v>389</v>
      </c>
      <c r="AC50" s="232" t="s">
        <v>389</v>
      </c>
      <c r="AD50" s="192" t="s">
        <v>655</v>
      </c>
      <c r="AE50" s="186" t="s">
        <v>389</v>
      </c>
      <c r="AF50" s="151"/>
      <c r="AG50" s="151"/>
      <c r="AH50" s="151"/>
      <c r="AI50" s="154"/>
      <c r="AJ50" s="148"/>
      <c r="AK50" s="206"/>
      <c r="AL50" s="216"/>
      <c r="AM50" s="216"/>
      <c r="AN50" s="216"/>
      <c r="AO50" s="216"/>
      <c r="AP50" s="216"/>
      <c r="AQ50" s="216"/>
      <c r="AR50" s="216"/>
      <c r="AS50" s="216"/>
      <c r="AT50" s="216"/>
      <c r="AU50" s="216"/>
      <c r="AV50" s="216"/>
      <c r="AW50" s="216"/>
      <c r="AX50" s="217"/>
      <c r="AY50" s="217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17"/>
      <c r="BM50" s="217"/>
      <c r="BN50" s="217"/>
      <c r="BO50" s="217"/>
      <c r="BP50" s="217"/>
      <c r="BQ50" s="217"/>
      <c r="BR50" s="217"/>
      <c r="BS50" s="217"/>
      <c r="BT50" s="217"/>
      <c r="BU50" s="217"/>
      <c r="BV50" s="218"/>
      <c r="BW50" s="219"/>
      <c r="BX50" s="219"/>
      <c r="BY50" s="219"/>
      <c r="BZ50" s="219"/>
      <c r="CA50" s="219"/>
      <c r="CB50" s="219"/>
      <c r="CC50" s="219"/>
      <c r="CD50" s="219"/>
      <c r="CE50" s="219"/>
      <c r="CF50" s="219"/>
      <c r="CG50" s="219"/>
      <c r="CH50" s="219"/>
      <c r="CI50" s="219"/>
      <c r="CJ50" s="219"/>
      <c r="CK50" s="219"/>
      <c r="CL50" s="219"/>
      <c r="CM50" s="219"/>
      <c r="CN50" s="219"/>
      <c r="CO50" s="219"/>
      <c r="CP50" s="219"/>
      <c r="CQ50" s="219"/>
      <c r="CR50" s="219"/>
      <c r="CS50" s="219"/>
      <c r="CT50" s="219"/>
      <c r="CU50" s="219"/>
      <c r="CV50" s="219"/>
      <c r="CW50" s="219"/>
      <c r="CX50" s="219"/>
      <c r="CY50" s="219"/>
    </row>
    <row r="51" spans="1:103" s="205" customFormat="1" ht="130.5" customHeight="1" x14ac:dyDescent="0.3">
      <c r="A51" s="272"/>
      <c r="B51" s="272"/>
      <c r="C51" s="272"/>
      <c r="D51" s="225" t="s">
        <v>387</v>
      </c>
      <c r="E51" s="226">
        <v>0</v>
      </c>
      <c r="F51" s="226">
        <v>0</v>
      </c>
      <c r="G51" s="192">
        <v>0</v>
      </c>
      <c r="H51" s="192">
        <v>1</v>
      </c>
      <c r="I51" s="186" t="s">
        <v>135</v>
      </c>
      <c r="J51" s="186" t="s">
        <v>388</v>
      </c>
      <c r="K51" s="186" t="s">
        <v>605</v>
      </c>
      <c r="L51" s="186" t="s">
        <v>410</v>
      </c>
      <c r="M51" s="186" t="s">
        <v>389</v>
      </c>
      <c r="N51" s="185" t="s">
        <v>389</v>
      </c>
      <c r="O51" s="186" t="s">
        <v>553</v>
      </c>
      <c r="P51" s="186">
        <v>0</v>
      </c>
      <c r="Q51" s="186" t="s">
        <v>389</v>
      </c>
      <c r="R51" s="190" t="s">
        <v>387</v>
      </c>
      <c r="S51" s="186">
        <v>2</v>
      </c>
      <c r="T51" s="186">
        <v>4</v>
      </c>
      <c r="U51" s="186">
        <f t="shared" si="17"/>
        <v>8</v>
      </c>
      <c r="V51" s="186" t="str">
        <f t="shared" si="16"/>
        <v>Medio</v>
      </c>
      <c r="W51" s="186">
        <v>10</v>
      </c>
      <c r="X51" s="186">
        <f t="shared" si="2"/>
        <v>80</v>
      </c>
      <c r="Y51" s="186" t="str">
        <f>VLOOKUP(X51,CC257:CF280,2)</f>
        <v xml:space="preserve">III Mejorar si es posible.  Sería conveniente justificar la intervención y su rentabilidad. </v>
      </c>
      <c r="Z51" s="186" t="str">
        <f>VLOOKUP(X51,CC257:CG280,3)</f>
        <v>Aceptable</v>
      </c>
      <c r="AA51" s="232" t="s">
        <v>389</v>
      </c>
      <c r="AB51" s="232" t="s">
        <v>389</v>
      </c>
      <c r="AC51" s="232" t="s">
        <v>389</v>
      </c>
      <c r="AD51" s="186" t="s">
        <v>656</v>
      </c>
      <c r="AE51" s="186" t="s">
        <v>429</v>
      </c>
      <c r="AF51" s="151"/>
      <c r="AG51" s="151"/>
      <c r="AH51" s="151"/>
      <c r="AI51" s="154">
        <v>1</v>
      </c>
      <c r="AJ51" s="148"/>
      <c r="AK51" s="20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7"/>
      <c r="AY51" s="217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17"/>
      <c r="BM51" s="217"/>
      <c r="BN51" s="217"/>
      <c r="BO51" s="217"/>
      <c r="BP51" s="217"/>
      <c r="BQ51" s="217"/>
      <c r="BR51" s="217"/>
      <c r="BS51" s="217"/>
      <c r="BT51" s="217"/>
      <c r="BU51" s="217"/>
      <c r="BV51" s="218"/>
      <c r="BW51" s="219"/>
      <c r="BX51" s="219"/>
      <c r="BY51" s="219"/>
      <c r="BZ51" s="219"/>
      <c r="CA51" s="219"/>
      <c r="CB51" s="219"/>
      <c r="CC51" s="219"/>
      <c r="CD51" s="219"/>
      <c r="CE51" s="219"/>
      <c r="CF51" s="219"/>
      <c r="CG51" s="219"/>
      <c r="CH51" s="219"/>
      <c r="CI51" s="219"/>
      <c r="CJ51" s="219"/>
      <c r="CK51" s="219"/>
      <c r="CL51" s="219"/>
      <c r="CM51" s="219"/>
      <c r="CN51" s="219"/>
      <c r="CO51" s="219"/>
      <c r="CP51" s="219"/>
      <c r="CQ51" s="219"/>
      <c r="CR51" s="219"/>
      <c r="CS51" s="219"/>
      <c r="CT51" s="219"/>
      <c r="CU51" s="219"/>
      <c r="CV51" s="219"/>
      <c r="CW51" s="219"/>
      <c r="CX51" s="219"/>
      <c r="CY51" s="219"/>
    </row>
    <row r="52" spans="1:103" s="205" customFormat="1" ht="121.95" customHeight="1" x14ac:dyDescent="0.3">
      <c r="A52" s="273"/>
      <c r="B52" s="273"/>
      <c r="C52" s="273"/>
      <c r="D52" s="210" t="s">
        <v>387</v>
      </c>
      <c r="E52" s="189">
        <v>0</v>
      </c>
      <c r="F52" s="189">
        <v>0</v>
      </c>
      <c r="G52" s="186">
        <v>0</v>
      </c>
      <c r="H52" s="186">
        <v>1</v>
      </c>
      <c r="I52" s="186" t="s">
        <v>135</v>
      </c>
      <c r="J52" s="186" t="s">
        <v>219</v>
      </c>
      <c r="K52" s="186" t="s">
        <v>657</v>
      </c>
      <c r="L52" s="186" t="s">
        <v>392</v>
      </c>
      <c r="M52" s="186" t="s">
        <v>389</v>
      </c>
      <c r="N52" s="186" t="s">
        <v>389</v>
      </c>
      <c r="O52" s="186" t="s">
        <v>415</v>
      </c>
      <c r="P52" s="186">
        <v>0</v>
      </c>
      <c r="Q52" s="186" t="s">
        <v>389</v>
      </c>
      <c r="R52" s="190" t="s">
        <v>387</v>
      </c>
      <c r="S52" s="186">
        <v>2</v>
      </c>
      <c r="T52" s="186">
        <v>4</v>
      </c>
      <c r="U52" s="186">
        <f t="shared" si="17"/>
        <v>8</v>
      </c>
      <c r="V52" s="186" t="str">
        <f t="shared" si="16"/>
        <v>Medio</v>
      </c>
      <c r="W52" s="186">
        <v>25</v>
      </c>
      <c r="X52" s="186">
        <f t="shared" si="2"/>
        <v>200</v>
      </c>
      <c r="Y52" s="186" t="str">
        <f>VLOOKUP(X52,CC263:CF286,2)</f>
        <v>II Corregir y adoptar medidas de control inmediato.  Sin embargo, suspenda actividades si el nivel de consecuencia está por encima de 60.</v>
      </c>
      <c r="Z52" s="186" t="str">
        <f>VLOOKUP(X52,CC258:CG281,3)</f>
        <v>No Aceptable</v>
      </c>
      <c r="AA52" s="232" t="s">
        <v>389</v>
      </c>
      <c r="AB52" s="232" t="s">
        <v>389</v>
      </c>
      <c r="AC52" s="232" t="s">
        <v>389</v>
      </c>
      <c r="AD52" s="186" t="s">
        <v>416</v>
      </c>
      <c r="AE52" s="186" t="s">
        <v>609</v>
      </c>
      <c r="AF52" s="151"/>
      <c r="AG52" s="151"/>
      <c r="AH52" s="151"/>
      <c r="AI52" s="154">
        <v>3</v>
      </c>
      <c r="AJ52" s="148"/>
      <c r="AK52" s="206"/>
      <c r="AL52" s="216"/>
      <c r="AM52" s="216"/>
      <c r="AN52" s="216"/>
      <c r="AO52" s="216"/>
      <c r="AP52" s="216"/>
      <c r="AQ52" s="216"/>
      <c r="AR52" s="216"/>
      <c r="AS52" s="216"/>
      <c r="AT52" s="216"/>
      <c r="AU52" s="216"/>
      <c r="AV52" s="216"/>
      <c r="AW52" s="216"/>
      <c r="AX52" s="217"/>
      <c r="AY52" s="217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17"/>
      <c r="BM52" s="217"/>
      <c r="BN52" s="217"/>
      <c r="BO52" s="217"/>
      <c r="BP52" s="217"/>
      <c r="BQ52" s="217"/>
      <c r="BR52" s="217"/>
      <c r="BS52" s="217"/>
      <c r="BT52" s="217"/>
      <c r="BU52" s="217"/>
      <c r="BV52" s="218"/>
      <c r="BW52" s="219"/>
      <c r="BX52" s="219"/>
      <c r="BY52" s="219"/>
      <c r="BZ52" s="219"/>
      <c r="CA52" s="219"/>
      <c r="CB52" s="219"/>
      <c r="CC52" s="219"/>
      <c r="CD52" s="219"/>
      <c r="CE52" s="219"/>
      <c r="CF52" s="219"/>
      <c r="CG52" s="219"/>
      <c r="CH52" s="219"/>
      <c r="CI52" s="219"/>
      <c r="CJ52" s="219"/>
      <c r="CK52" s="219"/>
      <c r="CL52" s="219"/>
      <c r="CM52" s="219"/>
      <c r="CN52" s="219"/>
      <c r="CO52" s="219"/>
      <c r="CP52" s="219"/>
      <c r="CQ52" s="219"/>
      <c r="CR52" s="219"/>
      <c r="CS52" s="219"/>
      <c r="CT52" s="219"/>
      <c r="CU52" s="219"/>
      <c r="CV52" s="219"/>
      <c r="CW52" s="219"/>
      <c r="CX52" s="219"/>
      <c r="CY52" s="219"/>
    </row>
    <row r="53" spans="1:103" ht="12.75" customHeight="1" x14ac:dyDescent="0.3"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34"/>
    </row>
    <row r="54" spans="1:103" ht="12.75" customHeight="1" x14ac:dyDescent="0.3">
      <c r="A54" s="155"/>
      <c r="B54" s="134"/>
      <c r="C54" s="134"/>
      <c r="D54" s="134"/>
      <c r="E54" s="157"/>
      <c r="F54" s="157"/>
      <c r="G54" s="157"/>
      <c r="H54" s="157"/>
      <c r="I54" s="158"/>
      <c r="J54" s="159"/>
      <c r="K54" s="159"/>
      <c r="L54" s="159"/>
      <c r="M54" s="160"/>
      <c r="N54" s="160"/>
      <c r="O54" s="160"/>
      <c r="P54" s="158"/>
      <c r="Q54" s="158"/>
      <c r="R54" s="158"/>
      <c r="S54" s="158"/>
      <c r="T54" s="158"/>
      <c r="U54" s="158"/>
      <c r="V54" s="159"/>
      <c r="W54" s="159"/>
      <c r="X54" s="159"/>
      <c r="Y54" s="158"/>
      <c r="Z54" s="159"/>
      <c r="AA54" s="160"/>
      <c r="AB54" s="160"/>
      <c r="AC54" s="160"/>
      <c r="AD54" s="160"/>
      <c r="AE54" s="160"/>
      <c r="AF54" s="159"/>
      <c r="AG54" s="159"/>
      <c r="AH54" s="159"/>
      <c r="AI54" s="159"/>
      <c r="AJ54" s="159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34"/>
    </row>
    <row r="55" spans="1:103" ht="12.75" customHeight="1" x14ac:dyDescent="0.3">
      <c r="A55" s="155"/>
      <c r="B55" s="134"/>
      <c r="C55" s="134"/>
      <c r="D55" s="134"/>
      <c r="E55" s="157"/>
      <c r="F55" s="157"/>
      <c r="G55" s="157"/>
      <c r="H55" s="157"/>
      <c r="I55" s="158"/>
      <c r="J55" s="159"/>
      <c r="K55" s="159"/>
      <c r="L55" s="159"/>
      <c r="M55" s="160"/>
      <c r="N55" s="160"/>
      <c r="O55" s="160"/>
      <c r="P55" s="158"/>
      <c r="Q55" s="158"/>
      <c r="R55" s="158"/>
      <c r="S55" s="158"/>
      <c r="T55" s="158"/>
      <c r="U55" s="158"/>
      <c r="V55" s="159"/>
      <c r="W55" s="159"/>
      <c r="X55" s="159"/>
      <c r="Y55" s="158"/>
      <c r="Z55" s="159"/>
      <c r="AA55" s="160"/>
      <c r="AB55" s="160"/>
      <c r="AC55" s="160"/>
      <c r="AD55" s="160"/>
      <c r="AE55" s="160"/>
      <c r="AF55" s="159"/>
      <c r="AG55" s="159"/>
      <c r="AH55" s="159"/>
      <c r="AI55" s="159"/>
      <c r="AJ55" s="159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34"/>
    </row>
    <row r="56" spans="1:103" ht="12.75" customHeight="1" x14ac:dyDescent="0.3">
      <c r="A56" s="155"/>
      <c r="B56" s="134"/>
      <c r="C56" s="134"/>
      <c r="D56" s="134"/>
      <c r="E56" s="157"/>
      <c r="F56" s="157"/>
      <c r="G56" s="157"/>
      <c r="H56" s="157"/>
      <c r="I56" s="158"/>
      <c r="J56" s="159"/>
      <c r="K56" s="159"/>
      <c r="L56" s="159"/>
      <c r="M56" s="160"/>
      <c r="N56" s="160"/>
      <c r="O56" s="160"/>
      <c r="P56" s="158"/>
      <c r="Q56" s="158"/>
      <c r="R56" s="158"/>
      <c r="S56" s="158"/>
      <c r="T56" s="158"/>
      <c r="U56" s="158"/>
      <c r="V56" s="159"/>
      <c r="W56" s="159"/>
      <c r="X56" s="159"/>
      <c r="Y56" s="158"/>
      <c r="Z56" s="159"/>
      <c r="AA56" s="160"/>
      <c r="AB56" s="160"/>
      <c r="AC56" s="160"/>
      <c r="AD56" s="160"/>
      <c r="AE56" s="160"/>
      <c r="AF56" s="159"/>
      <c r="AG56" s="159"/>
      <c r="AH56" s="159"/>
      <c r="AI56" s="159"/>
      <c r="AJ56" s="159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34"/>
    </row>
    <row r="57" spans="1:103" ht="12.75" customHeight="1" x14ac:dyDescent="0.3">
      <c r="A57" s="155"/>
      <c r="B57" s="134"/>
      <c r="C57" s="134"/>
      <c r="D57" s="134"/>
      <c r="E57" s="157"/>
      <c r="F57" s="157"/>
      <c r="G57" s="157"/>
      <c r="H57" s="157"/>
      <c r="I57" s="158"/>
      <c r="J57" s="159"/>
      <c r="K57" s="159"/>
      <c r="L57" s="159"/>
      <c r="M57" s="160"/>
      <c r="N57" s="160"/>
      <c r="O57" s="160"/>
      <c r="P57" s="158"/>
      <c r="Q57" s="158"/>
      <c r="R57" s="158"/>
      <c r="S57" s="158"/>
      <c r="T57" s="158"/>
      <c r="U57" s="158"/>
      <c r="V57" s="159"/>
      <c r="W57" s="159"/>
      <c r="X57" s="159"/>
      <c r="Y57" s="158"/>
      <c r="Z57" s="159"/>
      <c r="AA57" s="160"/>
      <c r="AB57" s="160"/>
      <c r="AC57" s="160"/>
      <c r="AD57" s="160"/>
      <c r="AE57" s="160"/>
      <c r="AF57" s="159"/>
      <c r="AG57" s="159"/>
      <c r="AH57" s="159"/>
      <c r="AI57" s="159"/>
      <c r="AJ57" s="159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59"/>
      <c r="BX57" s="159"/>
      <c r="BY57" s="159"/>
      <c r="BZ57" s="159"/>
      <c r="CA57" s="159"/>
      <c r="CB57" s="159"/>
      <c r="CC57" s="159"/>
      <c r="CD57" s="159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34"/>
    </row>
    <row r="58" spans="1:103" ht="12.75" customHeight="1" x14ac:dyDescent="0.3">
      <c r="A58" s="155"/>
      <c r="B58" s="134"/>
      <c r="C58" s="134"/>
      <c r="D58" s="134"/>
      <c r="E58" s="157"/>
      <c r="F58" s="157"/>
      <c r="G58" s="157"/>
      <c r="H58" s="157"/>
      <c r="I58" s="158"/>
      <c r="J58" s="159"/>
      <c r="K58" s="159"/>
      <c r="L58" s="159"/>
      <c r="M58" s="160"/>
      <c r="N58" s="160"/>
      <c r="O58" s="160"/>
      <c r="P58" s="158"/>
      <c r="Q58" s="158"/>
      <c r="R58" s="158"/>
      <c r="S58" s="158"/>
      <c r="T58" s="158"/>
      <c r="U58" s="158"/>
      <c r="V58" s="159"/>
      <c r="W58" s="159"/>
      <c r="X58" s="159"/>
      <c r="Y58" s="158"/>
      <c r="Z58" s="159"/>
      <c r="AA58" s="160"/>
      <c r="AB58" s="160"/>
      <c r="AC58" s="160"/>
      <c r="AD58" s="160"/>
      <c r="AE58" s="160"/>
      <c r="AF58" s="159"/>
      <c r="AG58" s="159"/>
      <c r="AH58" s="159"/>
      <c r="AI58" s="159"/>
      <c r="AJ58" s="159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59"/>
      <c r="BX58" s="159"/>
      <c r="BY58" s="159"/>
      <c r="BZ58" s="159"/>
      <c r="CA58" s="159"/>
      <c r="CB58" s="159"/>
      <c r="CC58" s="159"/>
      <c r="CD58" s="159"/>
      <c r="CE58" s="159"/>
      <c r="CF58" s="159"/>
      <c r="CG58" s="159"/>
      <c r="CH58" s="159"/>
      <c r="CI58" s="159"/>
      <c r="CJ58" s="159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59"/>
      <c r="CW58" s="159"/>
      <c r="CX58" s="159"/>
      <c r="CY58" s="134"/>
    </row>
    <row r="59" spans="1:103" ht="12.75" customHeight="1" x14ac:dyDescent="0.3">
      <c r="A59" s="155"/>
      <c r="B59" s="134"/>
      <c r="C59" s="134"/>
      <c r="D59" s="134"/>
      <c r="E59" s="157"/>
      <c r="F59" s="157"/>
      <c r="G59" s="157"/>
      <c r="H59" s="157"/>
      <c r="I59" s="158"/>
      <c r="J59" s="159"/>
      <c r="K59" s="159"/>
      <c r="L59" s="159"/>
      <c r="M59" s="160"/>
      <c r="N59" s="160"/>
      <c r="O59" s="160"/>
      <c r="P59" s="158"/>
      <c r="Q59" s="158"/>
      <c r="R59" s="158"/>
      <c r="S59" s="158"/>
      <c r="T59" s="158"/>
      <c r="U59" s="158"/>
      <c r="V59" s="159"/>
      <c r="W59" s="159"/>
      <c r="X59" s="159"/>
      <c r="Y59" s="158"/>
      <c r="Z59" s="159"/>
      <c r="AA59" s="160"/>
      <c r="AB59" s="160"/>
      <c r="AC59" s="160"/>
      <c r="AD59" s="160"/>
      <c r="AE59" s="160"/>
      <c r="AF59" s="159"/>
      <c r="AG59" s="159"/>
      <c r="AH59" s="159"/>
      <c r="AI59" s="159"/>
      <c r="AJ59" s="159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59"/>
      <c r="BX59" s="159"/>
      <c r="BY59" s="159"/>
      <c r="BZ59" s="159"/>
      <c r="CA59" s="159"/>
      <c r="CB59" s="159"/>
      <c r="CC59" s="159"/>
      <c r="CD59" s="159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34"/>
    </row>
    <row r="60" spans="1:103" ht="12.75" customHeight="1" x14ac:dyDescent="0.3">
      <c r="A60" s="155"/>
      <c r="B60" s="134"/>
      <c r="C60" s="134"/>
      <c r="D60" s="134"/>
      <c r="E60" s="157"/>
      <c r="F60" s="157"/>
      <c r="G60" s="157"/>
      <c r="H60" s="157"/>
      <c r="I60" s="158"/>
      <c r="J60" s="159"/>
      <c r="K60" s="159"/>
      <c r="L60" s="159"/>
      <c r="M60" s="160"/>
      <c r="N60" s="160"/>
      <c r="O60" s="160"/>
      <c r="P60" s="158"/>
      <c r="Q60" s="158"/>
      <c r="R60" s="158"/>
      <c r="S60" s="158"/>
      <c r="T60" s="158"/>
      <c r="U60" s="158"/>
      <c r="V60" s="159"/>
      <c r="W60" s="159"/>
      <c r="X60" s="159"/>
      <c r="Y60" s="158"/>
      <c r="Z60" s="159"/>
      <c r="AA60" s="160"/>
      <c r="AB60" s="160"/>
      <c r="AC60" s="160"/>
      <c r="AD60" s="160"/>
      <c r="AE60" s="160"/>
      <c r="AF60" s="159"/>
      <c r="AG60" s="159"/>
      <c r="AH60" s="159"/>
      <c r="AI60" s="159"/>
      <c r="AJ60" s="159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59"/>
      <c r="BX60" s="159"/>
      <c r="BY60" s="159"/>
      <c r="BZ60" s="159"/>
      <c r="CA60" s="159"/>
      <c r="CB60" s="159"/>
      <c r="CC60" s="159"/>
      <c r="CD60" s="159"/>
      <c r="CE60" s="159"/>
      <c r="CF60" s="159"/>
      <c r="CG60" s="159"/>
      <c r="CH60" s="159"/>
      <c r="CI60" s="159"/>
      <c r="CJ60" s="159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59"/>
      <c r="CW60" s="159"/>
      <c r="CX60" s="159"/>
      <c r="CY60" s="134"/>
    </row>
    <row r="61" spans="1:103" ht="12.75" customHeight="1" x14ac:dyDescent="0.3">
      <c r="A61" s="155"/>
      <c r="B61" s="134"/>
      <c r="C61" s="134"/>
      <c r="D61" s="134"/>
      <c r="E61" s="157"/>
      <c r="F61" s="157"/>
      <c r="G61" s="157"/>
      <c r="H61" s="157"/>
      <c r="I61" s="158"/>
      <c r="J61" s="159"/>
      <c r="K61" s="159"/>
      <c r="L61" s="159"/>
      <c r="M61" s="160"/>
      <c r="N61" s="160"/>
      <c r="O61" s="160"/>
      <c r="P61" s="158"/>
      <c r="Q61" s="158"/>
      <c r="R61" s="158"/>
      <c r="S61" s="158"/>
      <c r="T61" s="158"/>
      <c r="U61" s="158"/>
      <c r="V61" s="159"/>
      <c r="W61" s="159"/>
      <c r="X61" s="159"/>
      <c r="Y61" s="158"/>
      <c r="Z61" s="159"/>
      <c r="AA61" s="160"/>
      <c r="AB61" s="160"/>
      <c r="AC61" s="160"/>
      <c r="AD61" s="160"/>
      <c r="AE61" s="160"/>
      <c r="AF61" s="159"/>
      <c r="AG61" s="159"/>
      <c r="AH61" s="159"/>
      <c r="AI61" s="159"/>
      <c r="AJ61" s="159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34"/>
    </row>
    <row r="62" spans="1:103" ht="12.75" customHeight="1" x14ac:dyDescent="0.3">
      <c r="A62" s="155"/>
      <c r="B62" s="134"/>
      <c r="C62" s="134"/>
      <c r="D62" s="134"/>
      <c r="E62" s="157"/>
      <c r="F62" s="157"/>
      <c r="G62" s="157"/>
      <c r="H62" s="157"/>
      <c r="I62" s="158"/>
      <c r="J62" s="159"/>
      <c r="K62" s="159"/>
      <c r="L62" s="159"/>
      <c r="M62" s="160"/>
      <c r="N62" s="160"/>
      <c r="O62" s="160"/>
      <c r="P62" s="158"/>
      <c r="Q62" s="158"/>
      <c r="R62" s="158"/>
      <c r="S62" s="158"/>
      <c r="T62" s="158"/>
      <c r="U62" s="158"/>
      <c r="V62" s="159"/>
      <c r="W62" s="159"/>
      <c r="X62" s="159"/>
      <c r="Y62" s="158"/>
      <c r="Z62" s="159"/>
      <c r="AA62" s="160"/>
      <c r="AB62" s="160"/>
      <c r="AC62" s="160"/>
      <c r="AD62" s="160"/>
      <c r="AE62" s="160"/>
      <c r="AF62" s="159"/>
      <c r="AG62" s="159"/>
      <c r="AH62" s="159"/>
      <c r="AI62" s="159"/>
      <c r="AJ62" s="159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59"/>
      <c r="BX62" s="159"/>
      <c r="BY62" s="159"/>
      <c r="BZ62" s="159"/>
      <c r="CA62" s="159"/>
      <c r="CB62" s="159"/>
      <c r="CC62" s="159"/>
      <c r="CD62" s="159"/>
      <c r="CE62" s="159"/>
      <c r="CF62" s="159"/>
      <c r="CG62" s="159"/>
      <c r="CH62" s="159"/>
      <c r="CI62" s="159"/>
      <c r="CJ62" s="159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59"/>
      <c r="CW62" s="159"/>
      <c r="CX62" s="159"/>
      <c r="CY62" s="134"/>
    </row>
    <row r="63" spans="1:103" ht="12.75" customHeight="1" x14ac:dyDescent="0.3">
      <c r="A63" s="155"/>
      <c r="B63" s="134"/>
      <c r="C63" s="134"/>
      <c r="D63" s="134"/>
      <c r="E63" s="157"/>
      <c r="F63" s="157"/>
      <c r="G63" s="157"/>
      <c r="H63" s="157"/>
      <c r="I63" s="158"/>
      <c r="J63" s="159"/>
      <c r="K63" s="159"/>
      <c r="L63" s="159"/>
      <c r="M63" s="160"/>
      <c r="N63" s="160"/>
      <c r="O63" s="160"/>
      <c r="P63" s="158"/>
      <c r="Q63" s="158"/>
      <c r="R63" s="158"/>
      <c r="S63" s="158"/>
      <c r="T63" s="158"/>
      <c r="U63" s="158"/>
      <c r="V63" s="159"/>
      <c r="W63" s="159"/>
      <c r="X63" s="159"/>
      <c r="Y63" s="158"/>
      <c r="Z63" s="159"/>
      <c r="AA63" s="160"/>
      <c r="AB63" s="160"/>
      <c r="AC63" s="160"/>
      <c r="AD63" s="160"/>
      <c r="AE63" s="160"/>
      <c r="AF63" s="159"/>
      <c r="AG63" s="159"/>
      <c r="AH63" s="159"/>
      <c r="AI63" s="159"/>
      <c r="AJ63" s="159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59"/>
      <c r="BX63" s="159"/>
      <c r="BY63" s="159"/>
      <c r="BZ63" s="159"/>
      <c r="CA63" s="159"/>
      <c r="CB63" s="159"/>
      <c r="CC63" s="159"/>
      <c r="CD63" s="159"/>
      <c r="CE63" s="159"/>
      <c r="CF63" s="159"/>
      <c r="CG63" s="159"/>
      <c r="CH63" s="159"/>
      <c r="CI63" s="159"/>
      <c r="CJ63" s="159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59"/>
      <c r="CW63" s="159"/>
      <c r="CX63" s="159"/>
      <c r="CY63" s="134"/>
    </row>
    <row r="64" spans="1:103" ht="12.75" customHeight="1" x14ac:dyDescent="0.3">
      <c r="A64" s="155"/>
      <c r="B64" s="134"/>
      <c r="C64" s="134"/>
      <c r="D64" s="134"/>
      <c r="E64" s="157"/>
      <c r="F64" s="157"/>
      <c r="G64" s="157"/>
      <c r="H64" s="157"/>
      <c r="I64" s="158"/>
      <c r="J64" s="159"/>
      <c r="K64" s="159"/>
      <c r="L64" s="159"/>
      <c r="M64" s="160"/>
      <c r="N64" s="160"/>
      <c r="O64" s="160"/>
      <c r="P64" s="158"/>
      <c r="Q64" s="158"/>
      <c r="R64" s="158"/>
      <c r="S64" s="158"/>
      <c r="T64" s="158"/>
      <c r="U64" s="158"/>
      <c r="V64" s="159"/>
      <c r="W64" s="159"/>
      <c r="X64" s="159"/>
      <c r="Y64" s="158"/>
      <c r="Z64" s="159"/>
      <c r="AA64" s="160"/>
      <c r="AB64" s="160"/>
      <c r="AC64" s="160"/>
      <c r="AD64" s="160"/>
      <c r="AE64" s="160"/>
      <c r="AF64" s="159"/>
      <c r="AG64" s="159"/>
      <c r="AH64" s="159"/>
      <c r="AI64" s="159"/>
      <c r="AJ64" s="159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167"/>
      <c r="BV64" s="167"/>
      <c r="BW64" s="159"/>
      <c r="BX64" s="159"/>
      <c r="BY64" s="159"/>
      <c r="BZ64" s="159"/>
      <c r="CA64" s="159"/>
      <c r="CB64" s="159"/>
      <c r="CC64" s="159"/>
      <c r="CD64" s="159"/>
      <c r="CE64" s="159"/>
      <c r="CF64" s="159"/>
      <c r="CG64" s="159"/>
      <c r="CH64" s="159"/>
      <c r="CI64" s="159"/>
      <c r="CJ64" s="159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59"/>
      <c r="CW64" s="159"/>
      <c r="CX64" s="159"/>
      <c r="CY64" s="134"/>
    </row>
    <row r="65" spans="1:103" ht="12.75" customHeight="1" x14ac:dyDescent="0.3">
      <c r="A65" s="155"/>
      <c r="B65" s="134"/>
      <c r="C65" s="134"/>
      <c r="D65" s="134"/>
      <c r="E65" s="157"/>
      <c r="F65" s="157"/>
      <c r="G65" s="157"/>
      <c r="H65" s="157"/>
      <c r="I65" s="158"/>
      <c r="J65" s="159"/>
      <c r="K65" s="159"/>
      <c r="L65" s="159"/>
      <c r="M65" s="160"/>
      <c r="N65" s="160"/>
      <c r="O65" s="160"/>
      <c r="P65" s="158"/>
      <c r="Q65" s="158"/>
      <c r="R65" s="158"/>
      <c r="S65" s="158"/>
      <c r="T65" s="158"/>
      <c r="U65" s="158"/>
      <c r="V65" s="159"/>
      <c r="W65" s="159"/>
      <c r="X65" s="159"/>
      <c r="Y65" s="158"/>
      <c r="Z65" s="159"/>
      <c r="AA65" s="160"/>
      <c r="AB65" s="160"/>
      <c r="AC65" s="160"/>
      <c r="AD65" s="160"/>
      <c r="AE65" s="160"/>
      <c r="AF65" s="159"/>
      <c r="AG65" s="159"/>
      <c r="AH65" s="159"/>
      <c r="AI65" s="159"/>
      <c r="AJ65" s="159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167"/>
      <c r="BV65" s="167"/>
      <c r="BW65" s="159"/>
      <c r="BX65" s="159"/>
      <c r="BY65" s="159"/>
      <c r="BZ65" s="159"/>
      <c r="CA65" s="159"/>
      <c r="CB65" s="159"/>
      <c r="CC65" s="159"/>
      <c r="CD65" s="159"/>
      <c r="CE65" s="159"/>
      <c r="CF65" s="159"/>
      <c r="CG65" s="159"/>
      <c r="CH65" s="159"/>
      <c r="CI65" s="159"/>
      <c r="CJ65" s="159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59"/>
      <c r="CW65" s="159"/>
      <c r="CX65" s="159"/>
      <c r="CY65" s="134"/>
    </row>
    <row r="66" spans="1:103" ht="12.75" customHeight="1" x14ac:dyDescent="0.3">
      <c r="A66" s="155"/>
      <c r="B66" s="134"/>
      <c r="C66" s="134"/>
      <c r="D66" s="134"/>
      <c r="E66" s="157"/>
      <c r="F66" s="157"/>
      <c r="G66" s="157"/>
      <c r="H66" s="157"/>
      <c r="I66" s="158"/>
      <c r="J66" s="159"/>
      <c r="K66" s="159"/>
      <c r="L66" s="159"/>
      <c r="M66" s="160"/>
      <c r="N66" s="160"/>
      <c r="O66" s="160"/>
      <c r="P66" s="158"/>
      <c r="Q66" s="158"/>
      <c r="R66" s="158"/>
      <c r="S66" s="158"/>
      <c r="T66" s="158"/>
      <c r="U66" s="158"/>
      <c r="V66" s="159"/>
      <c r="W66" s="159"/>
      <c r="X66" s="159"/>
      <c r="Y66" s="158"/>
      <c r="Z66" s="159"/>
      <c r="AA66" s="160"/>
      <c r="AB66" s="160"/>
      <c r="AC66" s="160"/>
      <c r="AD66" s="160"/>
      <c r="AE66" s="160"/>
      <c r="AF66" s="159"/>
      <c r="AG66" s="159"/>
      <c r="AH66" s="159"/>
      <c r="AI66" s="159"/>
      <c r="AJ66" s="159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59"/>
      <c r="BX66" s="159"/>
      <c r="BY66" s="159"/>
      <c r="BZ66" s="159"/>
      <c r="CA66" s="159"/>
      <c r="CB66" s="159"/>
      <c r="CC66" s="159"/>
      <c r="CD66" s="159"/>
      <c r="CE66" s="159"/>
      <c r="CF66" s="159"/>
      <c r="CG66" s="159"/>
      <c r="CH66" s="159"/>
      <c r="CI66" s="159"/>
      <c r="CJ66" s="159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59"/>
      <c r="CW66" s="159"/>
      <c r="CX66" s="159"/>
      <c r="CY66" s="134"/>
    </row>
    <row r="67" spans="1:103" ht="12.75" customHeight="1" x14ac:dyDescent="0.3">
      <c r="A67" s="155"/>
      <c r="B67" s="134"/>
      <c r="C67" s="134"/>
      <c r="D67" s="134"/>
      <c r="E67" s="157"/>
      <c r="F67" s="157"/>
      <c r="G67" s="157"/>
      <c r="H67" s="157"/>
      <c r="I67" s="158"/>
      <c r="J67" s="159"/>
      <c r="K67" s="159"/>
      <c r="L67" s="159"/>
      <c r="M67" s="160"/>
      <c r="N67" s="160"/>
      <c r="O67" s="160"/>
      <c r="P67" s="158"/>
      <c r="Q67" s="158"/>
      <c r="R67" s="158"/>
      <c r="S67" s="158"/>
      <c r="T67" s="158"/>
      <c r="U67" s="158"/>
      <c r="V67" s="159"/>
      <c r="W67" s="159"/>
      <c r="X67" s="159"/>
      <c r="Y67" s="158"/>
      <c r="Z67" s="159"/>
      <c r="AA67" s="160"/>
      <c r="AB67" s="160"/>
      <c r="AC67" s="160"/>
      <c r="AD67" s="160"/>
      <c r="AE67" s="160"/>
      <c r="AF67" s="159"/>
      <c r="AG67" s="159"/>
      <c r="AH67" s="159"/>
      <c r="AI67" s="159"/>
      <c r="AJ67" s="159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59"/>
      <c r="BX67" s="159"/>
      <c r="BY67" s="159"/>
      <c r="BZ67" s="159"/>
      <c r="CA67" s="159"/>
      <c r="CB67" s="159"/>
      <c r="CC67" s="159"/>
      <c r="CD67" s="159"/>
      <c r="CE67" s="159"/>
      <c r="CF67" s="159"/>
      <c r="CG67" s="159"/>
      <c r="CH67" s="159"/>
      <c r="CI67" s="159"/>
      <c r="CJ67" s="159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59"/>
      <c r="CW67" s="159"/>
      <c r="CX67" s="159"/>
      <c r="CY67" s="134"/>
    </row>
    <row r="68" spans="1:103" ht="12.75" customHeight="1" x14ac:dyDescent="0.3">
      <c r="A68" s="155"/>
      <c r="B68" s="134"/>
      <c r="C68" s="134"/>
      <c r="D68" s="134"/>
      <c r="E68" s="157"/>
      <c r="F68" s="157"/>
      <c r="G68" s="157"/>
      <c r="H68" s="157"/>
      <c r="I68" s="158"/>
      <c r="J68" s="159"/>
      <c r="K68" s="159"/>
      <c r="L68" s="159"/>
      <c r="M68" s="160"/>
      <c r="N68" s="160"/>
      <c r="O68" s="160"/>
      <c r="P68" s="158"/>
      <c r="Q68" s="158"/>
      <c r="R68" s="158"/>
      <c r="S68" s="158"/>
      <c r="T68" s="158"/>
      <c r="U68" s="158"/>
      <c r="V68" s="159"/>
      <c r="W68" s="159"/>
      <c r="X68" s="159"/>
      <c r="Y68" s="158"/>
      <c r="Z68" s="159"/>
      <c r="AA68" s="160"/>
      <c r="AB68" s="160"/>
      <c r="AC68" s="160"/>
      <c r="AD68" s="160"/>
      <c r="AE68" s="160"/>
      <c r="AF68" s="159"/>
      <c r="AG68" s="159"/>
      <c r="AH68" s="159"/>
      <c r="AI68" s="159"/>
      <c r="AJ68" s="159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59"/>
      <c r="BX68" s="159"/>
      <c r="BY68" s="159"/>
      <c r="BZ68" s="159"/>
      <c r="CA68" s="159"/>
      <c r="CB68" s="159"/>
      <c r="CC68" s="159"/>
      <c r="CD68" s="159"/>
      <c r="CE68" s="159"/>
      <c r="CF68" s="159"/>
      <c r="CG68" s="159"/>
      <c r="CH68" s="159"/>
      <c r="CI68" s="159"/>
      <c r="CJ68" s="159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59"/>
      <c r="CW68" s="159"/>
      <c r="CX68" s="159"/>
      <c r="CY68" s="134"/>
    </row>
    <row r="69" spans="1:103" ht="12.75" customHeight="1" x14ac:dyDescent="0.3">
      <c r="A69" s="155"/>
      <c r="B69" s="134"/>
      <c r="C69" s="134"/>
      <c r="D69" s="134"/>
      <c r="E69" s="157"/>
      <c r="F69" s="157"/>
      <c r="G69" s="157"/>
      <c r="H69" s="157"/>
      <c r="I69" s="158"/>
      <c r="J69" s="159"/>
      <c r="K69" s="159"/>
      <c r="L69" s="159"/>
      <c r="M69" s="160"/>
      <c r="N69" s="160"/>
      <c r="O69" s="160"/>
      <c r="P69" s="158"/>
      <c r="Q69" s="158"/>
      <c r="R69" s="158"/>
      <c r="S69" s="158"/>
      <c r="T69" s="158"/>
      <c r="U69" s="158"/>
      <c r="V69" s="159"/>
      <c r="W69" s="159"/>
      <c r="X69" s="159"/>
      <c r="Y69" s="158"/>
      <c r="Z69" s="159"/>
      <c r="AA69" s="160"/>
      <c r="AB69" s="160"/>
      <c r="AC69" s="160"/>
      <c r="AD69" s="160"/>
      <c r="AE69" s="160"/>
      <c r="AF69" s="159"/>
      <c r="AG69" s="159"/>
      <c r="AH69" s="159"/>
      <c r="AI69" s="159"/>
      <c r="AJ69" s="159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167"/>
      <c r="BV69" s="167"/>
      <c r="BW69" s="159"/>
      <c r="BX69" s="159"/>
      <c r="BY69" s="159"/>
      <c r="BZ69" s="159"/>
      <c r="CA69" s="159"/>
      <c r="CB69" s="159"/>
      <c r="CC69" s="159"/>
      <c r="CD69" s="159"/>
      <c r="CE69" s="159"/>
      <c r="CF69" s="159"/>
      <c r="CG69" s="159"/>
      <c r="CH69" s="159"/>
      <c r="CI69" s="159"/>
      <c r="CJ69" s="159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59"/>
      <c r="CW69" s="159"/>
      <c r="CX69" s="159"/>
      <c r="CY69" s="134"/>
    </row>
    <row r="70" spans="1:103" ht="12.75" customHeight="1" x14ac:dyDescent="0.3">
      <c r="A70" s="155"/>
      <c r="B70" s="134"/>
      <c r="C70" s="134"/>
      <c r="D70" s="134"/>
      <c r="E70" s="157"/>
      <c r="F70" s="157"/>
      <c r="G70" s="157"/>
      <c r="H70" s="157"/>
      <c r="I70" s="158"/>
      <c r="J70" s="159"/>
      <c r="K70" s="159"/>
      <c r="L70" s="159"/>
      <c r="M70" s="160"/>
      <c r="N70" s="160"/>
      <c r="O70" s="160"/>
      <c r="P70" s="158"/>
      <c r="Q70" s="158"/>
      <c r="R70" s="158"/>
      <c r="S70" s="158"/>
      <c r="T70" s="158"/>
      <c r="U70" s="158"/>
      <c r="V70" s="159"/>
      <c r="W70" s="159"/>
      <c r="X70" s="159"/>
      <c r="Y70" s="158"/>
      <c r="Z70" s="159"/>
      <c r="AA70" s="160"/>
      <c r="AB70" s="160"/>
      <c r="AC70" s="160"/>
      <c r="AD70" s="160"/>
      <c r="AE70" s="160"/>
      <c r="AF70" s="159"/>
      <c r="AG70" s="159"/>
      <c r="AH70" s="159"/>
      <c r="AI70" s="159"/>
      <c r="AJ70" s="159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  <c r="CI70" s="159"/>
      <c r="CJ70" s="159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59"/>
      <c r="CW70" s="159"/>
      <c r="CX70" s="159"/>
      <c r="CY70" s="134"/>
    </row>
    <row r="71" spans="1:103" ht="12.75" customHeight="1" x14ac:dyDescent="0.3">
      <c r="A71" s="155"/>
      <c r="B71" s="134"/>
      <c r="C71" s="134"/>
      <c r="D71" s="134"/>
      <c r="E71" s="157"/>
      <c r="F71" s="157"/>
      <c r="G71" s="157"/>
      <c r="H71" s="157"/>
      <c r="I71" s="158"/>
      <c r="J71" s="159"/>
      <c r="K71" s="159"/>
      <c r="L71" s="159"/>
      <c r="M71" s="160"/>
      <c r="N71" s="160"/>
      <c r="O71" s="160"/>
      <c r="P71" s="158"/>
      <c r="Q71" s="158"/>
      <c r="R71" s="158"/>
      <c r="S71" s="158"/>
      <c r="T71" s="158"/>
      <c r="U71" s="158"/>
      <c r="V71" s="159"/>
      <c r="W71" s="159"/>
      <c r="X71" s="159"/>
      <c r="Y71" s="158"/>
      <c r="Z71" s="159"/>
      <c r="AA71" s="160"/>
      <c r="AB71" s="160"/>
      <c r="AC71" s="160"/>
      <c r="AD71" s="160"/>
      <c r="AE71" s="160"/>
      <c r="AF71" s="159"/>
      <c r="AG71" s="159"/>
      <c r="AH71" s="159"/>
      <c r="AI71" s="159"/>
      <c r="AJ71" s="159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167"/>
      <c r="BV71" s="167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59"/>
      <c r="CW71" s="159"/>
      <c r="CX71" s="159"/>
      <c r="CY71" s="134"/>
    </row>
    <row r="72" spans="1:103" ht="12.75" customHeight="1" x14ac:dyDescent="0.3">
      <c r="A72" s="155"/>
      <c r="B72" s="134"/>
      <c r="C72" s="134"/>
      <c r="D72" s="134"/>
      <c r="E72" s="157"/>
      <c r="F72" s="157"/>
      <c r="G72" s="157"/>
      <c r="H72" s="157"/>
      <c r="I72" s="158"/>
      <c r="J72" s="159"/>
      <c r="K72" s="159"/>
      <c r="L72" s="159"/>
      <c r="M72" s="160"/>
      <c r="N72" s="160"/>
      <c r="O72" s="160"/>
      <c r="P72" s="158"/>
      <c r="Q72" s="158"/>
      <c r="R72" s="158"/>
      <c r="S72" s="158"/>
      <c r="T72" s="158"/>
      <c r="U72" s="158"/>
      <c r="V72" s="159"/>
      <c r="W72" s="159"/>
      <c r="X72" s="159"/>
      <c r="Y72" s="158"/>
      <c r="Z72" s="159"/>
      <c r="AA72" s="160"/>
      <c r="AB72" s="160"/>
      <c r="AC72" s="160"/>
      <c r="AD72" s="160"/>
      <c r="AE72" s="160"/>
      <c r="AF72" s="159"/>
      <c r="AG72" s="159"/>
      <c r="AH72" s="159"/>
      <c r="AI72" s="159"/>
      <c r="AJ72" s="159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59"/>
      <c r="CW72" s="159"/>
      <c r="CX72" s="159"/>
      <c r="CY72" s="134"/>
    </row>
    <row r="73" spans="1:103" ht="12.75" customHeight="1" x14ac:dyDescent="0.3">
      <c r="A73" s="155"/>
      <c r="B73" s="134"/>
      <c r="C73" s="134"/>
      <c r="D73" s="134"/>
      <c r="E73" s="157"/>
      <c r="F73" s="157"/>
      <c r="G73" s="157"/>
      <c r="H73" s="157"/>
      <c r="I73" s="158"/>
      <c r="J73" s="159"/>
      <c r="K73" s="159"/>
      <c r="L73" s="159"/>
      <c r="M73" s="160"/>
      <c r="N73" s="160"/>
      <c r="O73" s="160"/>
      <c r="P73" s="158"/>
      <c r="Q73" s="158"/>
      <c r="R73" s="158"/>
      <c r="S73" s="158"/>
      <c r="T73" s="158"/>
      <c r="U73" s="158"/>
      <c r="V73" s="159"/>
      <c r="W73" s="159"/>
      <c r="X73" s="159"/>
      <c r="Y73" s="158"/>
      <c r="Z73" s="159"/>
      <c r="AA73" s="160"/>
      <c r="AB73" s="160"/>
      <c r="AC73" s="160"/>
      <c r="AD73" s="160"/>
      <c r="AE73" s="160"/>
      <c r="AF73" s="159"/>
      <c r="AG73" s="159"/>
      <c r="AH73" s="159"/>
      <c r="AI73" s="159"/>
      <c r="AJ73" s="159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167"/>
      <c r="BV73" s="167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59"/>
      <c r="CW73" s="159"/>
      <c r="CX73" s="159"/>
      <c r="CY73" s="134"/>
    </row>
    <row r="74" spans="1:103" ht="12.75" customHeight="1" x14ac:dyDescent="0.3">
      <c r="A74" s="155"/>
      <c r="B74" s="134"/>
      <c r="C74" s="134"/>
      <c r="D74" s="134"/>
      <c r="E74" s="157"/>
      <c r="F74" s="157"/>
      <c r="G74" s="157"/>
      <c r="H74" s="157"/>
      <c r="I74" s="158"/>
      <c r="J74" s="159"/>
      <c r="K74" s="159"/>
      <c r="L74" s="159"/>
      <c r="M74" s="160"/>
      <c r="N74" s="160"/>
      <c r="O74" s="160"/>
      <c r="P74" s="158"/>
      <c r="Q74" s="158"/>
      <c r="R74" s="158"/>
      <c r="S74" s="158"/>
      <c r="T74" s="158"/>
      <c r="U74" s="158"/>
      <c r="V74" s="159"/>
      <c r="W74" s="159"/>
      <c r="X74" s="159"/>
      <c r="Y74" s="158"/>
      <c r="Z74" s="159"/>
      <c r="AA74" s="160"/>
      <c r="AB74" s="160"/>
      <c r="AC74" s="160"/>
      <c r="AD74" s="160"/>
      <c r="AE74" s="160"/>
      <c r="AF74" s="159"/>
      <c r="AG74" s="159"/>
      <c r="AH74" s="159"/>
      <c r="AI74" s="159"/>
      <c r="AJ74" s="159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  <c r="CI74" s="159"/>
      <c r="CJ74" s="159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59"/>
      <c r="CW74" s="159"/>
      <c r="CX74" s="159"/>
      <c r="CY74" s="134"/>
    </row>
    <row r="75" spans="1:103" ht="12.75" customHeight="1" x14ac:dyDescent="0.3">
      <c r="A75" s="155"/>
      <c r="B75" s="134"/>
      <c r="C75" s="134"/>
      <c r="D75" s="134"/>
      <c r="E75" s="157"/>
      <c r="F75" s="157"/>
      <c r="G75" s="157"/>
      <c r="H75" s="157"/>
      <c r="I75" s="158"/>
      <c r="J75" s="159"/>
      <c r="K75" s="159"/>
      <c r="L75" s="159"/>
      <c r="M75" s="160"/>
      <c r="N75" s="160"/>
      <c r="O75" s="160"/>
      <c r="P75" s="158"/>
      <c r="Q75" s="158"/>
      <c r="R75" s="158"/>
      <c r="S75" s="158"/>
      <c r="T75" s="158"/>
      <c r="U75" s="158"/>
      <c r="V75" s="159"/>
      <c r="W75" s="159"/>
      <c r="X75" s="159"/>
      <c r="Y75" s="158"/>
      <c r="Z75" s="159"/>
      <c r="AA75" s="160"/>
      <c r="AB75" s="160"/>
      <c r="AC75" s="160"/>
      <c r="AD75" s="160"/>
      <c r="AE75" s="160"/>
      <c r="AF75" s="159"/>
      <c r="AG75" s="159"/>
      <c r="AH75" s="159"/>
      <c r="AI75" s="159"/>
      <c r="AJ75" s="159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59"/>
      <c r="BX75" s="159"/>
      <c r="BY75" s="159"/>
      <c r="BZ75" s="159"/>
      <c r="CA75" s="159"/>
      <c r="CB75" s="159"/>
      <c r="CC75" s="159"/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59"/>
      <c r="CW75" s="159"/>
      <c r="CX75" s="159"/>
      <c r="CY75" s="134"/>
    </row>
    <row r="76" spans="1:103" ht="12.75" customHeight="1" x14ac:dyDescent="0.3">
      <c r="A76" s="155"/>
      <c r="B76" s="134"/>
      <c r="C76" s="134"/>
      <c r="D76" s="134"/>
      <c r="E76" s="157"/>
      <c r="F76" s="157"/>
      <c r="G76" s="157"/>
      <c r="H76" s="157"/>
      <c r="I76" s="158"/>
      <c r="J76" s="159"/>
      <c r="K76" s="159"/>
      <c r="L76" s="159"/>
      <c r="M76" s="160"/>
      <c r="N76" s="160"/>
      <c r="O76" s="160"/>
      <c r="P76" s="158"/>
      <c r="Q76" s="158"/>
      <c r="R76" s="158"/>
      <c r="S76" s="158"/>
      <c r="T76" s="158"/>
      <c r="U76" s="158"/>
      <c r="V76" s="159"/>
      <c r="W76" s="159"/>
      <c r="X76" s="159"/>
      <c r="Y76" s="158"/>
      <c r="Z76" s="159"/>
      <c r="AA76" s="160"/>
      <c r="AB76" s="160"/>
      <c r="AC76" s="160"/>
      <c r="AD76" s="160"/>
      <c r="AE76" s="160"/>
      <c r="AF76" s="159"/>
      <c r="AG76" s="159"/>
      <c r="AH76" s="159"/>
      <c r="AI76" s="159"/>
      <c r="AJ76" s="159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59"/>
      <c r="BX76" s="159"/>
      <c r="BY76" s="159"/>
      <c r="BZ76" s="159"/>
      <c r="CA76" s="159"/>
      <c r="CB76" s="159"/>
      <c r="CC76" s="159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34"/>
    </row>
    <row r="77" spans="1:103" ht="12.75" customHeight="1" x14ac:dyDescent="0.3">
      <c r="A77" s="155"/>
      <c r="B77" s="134"/>
      <c r="C77" s="134"/>
      <c r="D77" s="134"/>
      <c r="E77" s="157"/>
      <c r="F77" s="157"/>
      <c r="G77" s="157"/>
      <c r="H77" s="157"/>
      <c r="I77" s="158"/>
      <c r="J77" s="159"/>
      <c r="K77" s="159"/>
      <c r="L77" s="159"/>
      <c r="M77" s="160"/>
      <c r="N77" s="160"/>
      <c r="O77" s="160"/>
      <c r="P77" s="158"/>
      <c r="Q77" s="158"/>
      <c r="R77" s="158"/>
      <c r="S77" s="158"/>
      <c r="T77" s="158"/>
      <c r="U77" s="158"/>
      <c r="V77" s="159"/>
      <c r="W77" s="159"/>
      <c r="X77" s="159"/>
      <c r="Y77" s="158"/>
      <c r="Z77" s="159"/>
      <c r="AA77" s="160"/>
      <c r="AB77" s="160"/>
      <c r="AC77" s="160"/>
      <c r="AD77" s="160"/>
      <c r="AE77" s="160"/>
      <c r="AF77" s="159"/>
      <c r="AG77" s="159"/>
      <c r="AH77" s="159"/>
      <c r="AI77" s="159"/>
      <c r="AJ77" s="159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167"/>
      <c r="BV77" s="167"/>
      <c r="BW77" s="159"/>
      <c r="BX77" s="159"/>
      <c r="BY77" s="159"/>
      <c r="BZ77" s="159"/>
      <c r="CA77" s="159"/>
      <c r="CB77" s="159"/>
      <c r="CC77" s="159"/>
      <c r="CD77" s="159"/>
      <c r="CE77" s="159"/>
      <c r="CF77" s="159"/>
      <c r="CG77" s="159"/>
      <c r="CH77" s="159"/>
      <c r="CI77" s="159"/>
      <c r="CJ77" s="159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59"/>
      <c r="CW77" s="159"/>
      <c r="CX77" s="159"/>
      <c r="CY77" s="134"/>
    </row>
    <row r="78" spans="1:103" ht="12.75" customHeight="1" x14ac:dyDescent="0.3">
      <c r="A78" s="155"/>
      <c r="B78" s="134"/>
      <c r="C78" s="134"/>
      <c r="D78" s="134"/>
      <c r="E78" s="157"/>
      <c r="F78" s="157"/>
      <c r="G78" s="157"/>
      <c r="H78" s="157"/>
      <c r="I78" s="158"/>
      <c r="J78" s="159"/>
      <c r="K78" s="159"/>
      <c r="L78" s="159"/>
      <c r="M78" s="160"/>
      <c r="N78" s="160"/>
      <c r="O78" s="160"/>
      <c r="P78" s="158"/>
      <c r="Q78" s="158"/>
      <c r="R78" s="158"/>
      <c r="S78" s="158"/>
      <c r="T78" s="158"/>
      <c r="U78" s="158"/>
      <c r="V78" s="159"/>
      <c r="W78" s="159"/>
      <c r="X78" s="159"/>
      <c r="Y78" s="158"/>
      <c r="Z78" s="159"/>
      <c r="AA78" s="160"/>
      <c r="AB78" s="160"/>
      <c r="AC78" s="160"/>
      <c r="AD78" s="160"/>
      <c r="AE78" s="160"/>
      <c r="AF78" s="159"/>
      <c r="AG78" s="159"/>
      <c r="AH78" s="159"/>
      <c r="AI78" s="159"/>
      <c r="AJ78" s="159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167"/>
      <c r="BV78" s="167"/>
      <c r="BW78" s="159"/>
      <c r="BX78" s="159"/>
      <c r="BY78" s="159"/>
      <c r="BZ78" s="159"/>
      <c r="CA78" s="159"/>
      <c r="CB78" s="159"/>
      <c r="CC78" s="159"/>
      <c r="CD78" s="159"/>
      <c r="CE78" s="159"/>
      <c r="CF78" s="159"/>
      <c r="CG78" s="159"/>
      <c r="CH78" s="159"/>
      <c r="CI78" s="159"/>
      <c r="CJ78" s="159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59"/>
      <c r="CW78" s="159"/>
      <c r="CX78" s="159"/>
      <c r="CY78" s="134"/>
    </row>
    <row r="79" spans="1:103" ht="12.75" customHeight="1" x14ac:dyDescent="0.3">
      <c r="A79" s="155"/>
      <c r="B79" s="134"/>
      <c r="C79" s="134"/>
      <c r="D79" s="134"/>
      <c r="E79" s="157"/>
      <c r="F79" s="157"/>
      <c r="G79" s="157"/>
      <c r="H79" s="157"/>
      <c r="I79" s="158"/>
      <c r="J79" s="159"/>
      <c r="K79" s="159"/>
      <c r="L79" s="159"/>
      <c r="M79" s="160"/>
      <c r="N79" s="160"/>
      <c r="O79" s="160"/>
      <c r="P79" s="158"/>
      <c r="Q79" s="158"/>
      <c r="R79" s="158"/>
      <c r="S79" s="158"/>
      <c r="T79" s="158"/>
      <c r="U79" s="158"/>
      <c r="V79" s="159"/>
      <c r="W79" s="159"/>
      <c r="X79" s="159"/>
      <c r="Y79" s="158"/>
      <c r="Z79" s="159"/>
      <c r="AA79" s="160"/>
      <c r="AB79" s="160"/>
      <c r="AC79" s="160"/>
      <c r="AD79" s="160"/>
      <c r="AE79" s="160"/>
      <c r="AF79" s="159"/>
      <c r="AG79" s="159"/>
      <c r="AH79" s="159"/>
      <c r="AI79" s="159"/>
      <c r="AJ79" s="159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167"/>
      <c r="BV79" s="167"/>
      <c r="BW79" s="159"/>
      <c r="BX79" s="159"/>
      <c r="BY79" s="159"/>
      <c r="BZ79" s="159"/>
      <c r="CA79" s="159"/>
      <c r="CB79" s="159"/>
      <c r="CC79" s="159"/>
      <c r="CD79" s="159"/>
      <c r="CE79" s="159"/>
      <c r="CF79" s="159"/>
      <c r="CG79" s="159"/>
      <c r="CH79" s="159"/>
      <c r="CI79" s="159"/>
      <c r="CJ79" s="159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59"/>
      <c r="CW79" s="159"/>
      <c r="CX79" s="159"/>
      <c r="CY79" s="134"/>
    </row>
    <row r="80" spans="1:103" ht="12.75" customHeight="1" x14ac:dyDescent="0.3">
      <c r="A80" s="155"/>
      <c r="B80" s="134"/>
      <c r="C80" s="134"/>
      <c r="D80" s="134"/>
      <c r="E80" s="157"/>
      <c r="F80" s="157"/>
      <c r="G80" s="157"/>
      <c r="H80" s="157"/>
      <c r="I80" s="158"/>
      <c r="J80" s="159"/>
      <c r="K80" s="159"/>
      <c r="L80" s="159"/>
      <c r="M80" s="160"/>
      <c r="N80" s="160"/>
      <c r="O80" s="160"/>
      <c r="P80" s="158"/>
      <c r="Q80" s="158"/>
      <c r="R80" s="158"/>
      <c r="S80" s="158"/>
      <c r="T80" s="158"/>
      <c r="U80" s="158"/>
      <c r="V80" s="159"/>
      <c r="W80" s="159"/>
      <c r="X80" s="159"/>
      <c r="Y80" s="158"/>
      <c r="Z80" s="159"/>
      <c r="AA80" s="160"/>
      <c r="AB80" s="160"/>
      <c r="AC80" s="160"/>
      <c r="AD80" s="160"/>
      <c r="AE80" s="160"/>
      <c r="AF80" s="159"/>
      <c r="AG80" s="159"/>
      <c r="AH80" s="159"/>
      <c r="AI80" s="159"/>
      <c r="AJ80" s="159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167"/>
      <c r="BV80" s="167"/>
      <c r="BW80" s="159"/>
      <c r="BX80" s="159"/>
      <c r="BY80" s="159"/>
      <c r="BZ80" s="159"/>
      <c r="CA80" s="159"/>
      <c r="CB80" s="159"/>
      <c r="CC80" s="159"/>
      <c r="CD80" s="159"/>
      <c r="CE80" s="159"/>
      <c r="CF80" s="159"/>
      <c r="CG80" s="159"/>
      <c r="CH80" s="159"/>
      <c r="CI80" s="159"/>
      <c r="CJ80" s="159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59"/>
      <c r="CW80" s="159"/>
      <c r="CX80" s="159"/>
      <c r="CY80" s="134"/>
    </row>
    <row r="81" spans="1:103" ht="12.75" customHeight="1" x14ac:dyDescent="0.3">
      <c r="A81" s="155"/>
      <c r="B81" s="134"/>
      <c r="C81" s="134"/>
      <c r="D81" s="134"/>
      <c r="E81" s="157"/>
      <c r="F81" s="157"/>
      <c r="G81" s="157"/>
      <c r="H81" s="157"/>
      <c r="I81" s="158"/>
      <c r="J81" s="159"/>
      <c r="K81" s="159"/>
      <c r="L81" s="159"/>
      <c r="M81" s="160"/>
      <c r="N81" s="160"/>
      <c r="O81" s="160"/>
      <c r="P81" s="158"/>
      <c r="Q81" s="158"/>
      <c r="R81" s="158"/>
      <c r="S81" s="158"/>
      <c r="T81" s="158"/>
      <c r="U81" s="158"/>
      <c r="V81" s="159"/>
      <c r="W81" s="159"/>
      <c r="X81" s="159"/>
      <c r="Y81" s="158"/>
      <c r="Z81" s="159"/>
      <c r="AA81" s="160"/>
      <c r="AB81" s="160"/>
      <c r="AC81" s="160"/>
      <c r="AD81" s="160"/>
      <c r="AE81" s="160"/>
      <c r="AF81" s="159"/>
      <c r="AG81" s="159"/>
      <c r="AH81" s="159"/>
      <c r="AI81" s="159"/>
      <c r="AJ81" s="159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167"/>
      <c r="BV81" s="167"/>
      <c r="BW81" s="159"/>
      <c r="BX81" s="159"/>
      <c r="BY81" s="159"/>
      <c r="BZ81" s="159"/>
      <c r="CA81" s="159"/>
      <c r="CB81" s="159"/>
      <c r="CC81" s="159"/>
      <c r="CD81" s="159"/>
      <c r="CE81" s="159"/>
      <c r="CF81" s="159"/>
      <c r="CG81" s="159"/>
      <c r="CH81" s="159"/>
      <c r="CI81" s="159"/>
      <c r="CJ81" s="159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59"/>
      <c r="CW81" s="159"/>
      <c r="CX81" s="159"/>
      <c r="CY81" s="134"/>
    </row>
    <row r="82" spans="1:103" ht="12.75" customHeight="1" x14ac:dyDescent="0.3">
      <c r="A82" s="155"/>
      <c r="B82" s="134"/>
      <c r="C82" s="134"/>
      <c r="D82" s="134"/>
      <c r="E82" s="157"/>
      <c r="F82" s="157"/>
      <c r="G82" s="157"/>
      <c r="H82" s="157"/>
      <c r="I82" s="158"/>
      <c r="J82" s="159"/>
      <c r="K82" s="159"/>
      <c r="L82" s="159"/>
      <c r="M82" s="160"/>
      <c r="N82" s="160"/>
      <c r="O82" s="160"/>
      <c r="P82" s="158"/>
      <c r="Q82" s="158"/>
      <c r="R82" s="158"/>
      <c r="S82" s="158"/>
      <c r="T82" s="158"/>
      <c r="U82" s="158"/>
      <c r="V82" s="159"/>
      <c r="W82" s="159"/>
      <c r="X82" s="159"/>
      <c r="Y82" s="158"/>
      <c r="Z82" s="159"/>
      <c r="AA82" s="160"/>
      <c r="AB82" s="160"/>
      <c r="AC82" s="160"/>
      <c r="AD82" s="160"/>
      <c r="AE82" s="160"/>
      <c r="AF82" s="159"/>
      <c r="AG82" s="159"/>
      <c r="AH82" s="159"/>
      <c r="AI82" s="159"/>
      <c r="AJ82" s="159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167"/>
      <c r="BV82" s="167"/>
      <c r="BW82" s="159"/>
      <c r="BX82" s="159"/>
      <c r="BY82" s="159"/>
      <c r="BZ82" s="159"/>
      <c r="CA82" s="159"/>
      <c r="CB82" s="159"/>
      <c r="CC82" s="159"/>
      <c r="CD82" s="159"/>
      <c r="CE82" s="159"/>
      <c r="CF82" s="159"/>
      <c r="CG82" s="159"/>
      <c r="CH82" s="159"/>
      <c r="CI82" s="159"/>
      <c r="CJ82" s="159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59"/>
      <c r="CW82" s="159"/>
      <c r="CX82" s="159"/>
      <c r="CY82" s="134"/>
    </row>
    <row r="83" spans="1:103" ht="12.75" customHeight="1" x14ac:dyDescent="0.3">
      <c r="A83" s="155"/>
      <c r="B83" s="134"/>
      <c r="C83" s="134"/>
      <c r="D83" s="134"/>
      <c r="E83" s="157"/>
      <c r="F83" s="157"/>
      <c r="G83" s="157"/>
      <c r="H83" s="157"/>
      <c r="I83" s="158"/>
      <c r="J83" s="159"/>
      <c r="K83" s="159"/>
      <c r="L83" s="159"/>
      <c r="M83" s="160"/>
      <c r="N83" s="160"/>
      <c r="O83" s="160"/>
      <c r="P83" s="158"/>
      <c r="Q83" s="158"/>
      <c r="R83" s="158"/>
      <c r="S83" s="158"/>
      <c r="T83" s="158"/>
      <c r="U83" s="158"/>
      <c r="V83" s="159"/>
      <c r="W83" s="159"/>
      <c r="X83" s="159"/>
      <c r="Y83" s="158"/>
      <c r="Z83" s="159"/>
      <c r="AA83" s="160"/>
      <c r="AB83" s="160"/>
      <c r="AC83" s="160"/>
      <c r="AD83" s="160"/>
      <c r="AE83" s="160"/>
      <c r="AF83" s="159"/>
      <c r="AG83" s="159"/>
      <c r="AH83" s="159"/>
      <c r="AI83" s="159"/>
      <c r="AJ83" s="159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167"/>
      <c r="BV83" s="167"/>
      <c r="BW83" s="159"/>
      <c r="BX83" s="159"/>
      <c r="BY83" s="159"/>
      <c r="BZ83" s="159"/>
      <c r="CA83" s="159"/>
      <c r="CB83" s="159"/>
      <c r="CC83" s="159"/>
      <c r="CD83" s="159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59"/>
      <c r="CW83" s="159"/>
      <c r="CX83" s="159"/>
      <c r="CY83" s="134"/>
    </row>
    <row r="84" spans="1:103" ht="12.75" customHeight="1" x14ac:dyDescent="0.3">
      <c r="A84" s="155"/>
      <c r="B84" s="134"/>
      <c r="C84" s="134"/>
      <c r="D84" s="134"/>
      <c r="E84" s="157"/>
      <c r="F84" s="157"/>
      <c r="G84" s="157"/>
      <c r="H84" s="157"/>
      <c r="I84" s="158"/>
      <c r="J84" s="159"/>
      <c r="K84" s="159"/>
      <c r="L84" s="159"/>
      <c r="M84" s="160"/>
      <c r="N84" s="160"/>
      <c r="O84" s="160"/>
      <c r="P84" s="158"/>
      <c r="Q84" s="158"/>
      <c r="R84" s="158"/>
      <c r="S84" s="158"/>
      <c r="T84" s="158"/>
      <c r="U84" s="158"/>
      <c r="V84" s="159"/>
      <c r="W84" s="159"/>
      <c r="X84" s="159"/>
      <c r="Y84" s="158"/>
      <c r="Z84" s="159"/>
      <c r="AA84" s="160"/>
      <c r="AB84" s="160"/>
      <c r="AC84" s="160"/>
      <c r="AD84" s="160"/>
      <c r="AE84" s="160"/>
      <c r="AF84" s="159"/>
      <c r="AG84" s="159"/>
      <c r="AH84" s="159"/>
      <c r="AI84" s="159"/>
      <c r="AJ84" s="159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167"/>
      <c r="BV84" s="167"/>
      <c r="BW84" s="159"/>
      <c r="BX84" s="159"/>
      <c r="BY84" s="159"/>
      <c r="BZ84" s="159"/>
      <c r="CA84" s="159"/>
      <c r="CB84" s="159"/>
      <c r="CC84" s="159"/>
      <c r="CD84" s="159"/>
      <c r="CE84" s="159"/>
      <c r="CF84" s="159"/>
      <c r="CG84" s="159"/>
      <c r="CH84" s="159"/>
      <c r="CI84" s="159"/>
      <c r="CJ84" s="159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59"/>
      <c r="CW84" s="159"/>
      <c r="CX84" s="159"/>
      <c r="CY84" s="134"/>
    </row>
    <row r="85" spans="1:103" ht="12.75" customHeight="1" x14ac:dyDescent="0.3">
      <c r="A85" s="155"/>
      <c r="B85" s="134"/>
      <c r="C85" s="134"/>
      <c r="D85" s="134"/>
      <c r="E85" s="157"/>
      <c r="F85" s="157"/>
      <c r="G85" s="157"/>
      <c r="H85" s="157"/>
      <c r="I85" s="158"/>
      <c r="J85" s="159"/>
      <c r="K85" s="159"/>
      <c r="L85" s="159"/>
      <c r="M85" s="160"/>
      <c r="N85" s="160"/>
      <c r="O85" s="160"/>
      <c r="P85" s="158"/>
      <c r="Q85" s="158"/>
      <c r="R85" s="158"/>
      <c r="S85" s="158"/>
      <c r="T85" s="158"/>
      <c r="U85" s="158"/>
      <c r="V85" s="159"/>
      <c r="W85" s="159"/>
      <c r="X85" s="159"/>
      <c r="Y85" s="158"/>
      <c r="Z85" s="159"/>
      <c r="AA85" s="160"/>
      <c r="AB85" s="160"/>
      <c r="AC85" s="160"/>
      <c r="AD85" s="160"/>
      <c r="AE85" s="160"/>
      <c r="AF85" s="159"/>
      <c r="AG85" s="159"/>
      <c r="AH85" s="159"/>
      <c r="AI85" s="159"/>
      <c r="AJ85" s="159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  <c r="BH85" s="167"/>
      <c r="BI85" s="167"/>
      <c r="BJ85" s="167"/>
      <c r="BK85" s="167"/>
      <c r="BL85" s="167"/>
      <c r="BM85" s="167"/>
      <c r="BN85" s="167"/>
      <c r="BO85" s="167"/>
      <c r="BP85" s="167"/>
      <c r="BQ85" s="167"/>
      <c r="BR85" s="167"/>
      <c r="BS85" s="167"/>
      <c r="BT85" s="167"/>
      <c r="BU85" s="167"/>
      <c r="BV85" s="167"/>
      <c r="BW85" s="159"/>
      <c r="BX85" s="159"/>
      <c r="BY85" s="159"/>
      <c r="BZ85" s="159"/>
      <c r="CA85" s="159"/>
      <c r="CB85" s="159"/>
      <c r="CC85" s="159"/>
      <c r="CD85" s="159"/>
      <c r="CE85" s="159"/>
      <c r="CF85" s="159"/>
      <c r="CG85" s="159"/>
      <c r="CH85" s="159"/>
      <c r="CI85" s="159"/>
      <c r="CJ85" s="159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59"/>
      <c r="CW85" s="159"/>
      <c r="CX85" s="159"/>
      <c r="CY85" s="134"/>
    </row>
    <row r="86" spans="1:103" ht="12.75" customHeight="1" x14ac:dyDescent="0.3">
      <c r="A86" s="155"/>
      <c r="B86" s="134"/>
      <c r="C86" s="134"/>
      <c r="D86" s="134"/>
      <c r="E86" s="157"/>
      <c r="F86" s="157"/>
      <c r="G86" s="157"/>
      <c r="H86" s="157"/>
      <c r="I86" s="158"/>
      <c r="J86" s="159"/>
      <c r="K86" s="159"/>
      <c r="L86" s="159"/>
      <c r="M86" s="160"/>
      <c r="N86" s="160"/>
      <c r="O86" s="160"/>
      <c r="P86" s="158"/>
      <c r="Q86" s="158"/>
      <c r="R86" s="158"/>
      <c r="S86" s="158"/>
      <c r="T86" s="158"/>
      <c r="U86" s="158"/>
      <c r="V86" s="159"/>
      <c r="W86" s="159"/>
      <c r="X86" s="159"/>
      <c r="Y86" s="158"/>
      <c r="Z86" s="159"/>
      <c r="AA86" s="160"/>
      <c r="AB86" s="160"/>
      <c r="AC86" s="160"/>
      <c r="AD86" s="160"/>
      <c r="AE86" s="160"/>
      <c r="AF86" s="159"/>
      <c r="AG86" s="159"/>
      <c r="AH86" s="159"/>
      <c r="AI86" s="159"/>
      <c r="AJ86" s="159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7"/>
      <c r="BT86" s="167"/>
      <c r="BU86" s="167"/>
      <c r="BV86" s="167"/>
      <c r="BW86" s="159"/>
      <c r="BX86" s="159"/>
      <c r="BY86" s="159"/>
      <c r="BZ86" s="159"/>
      <c r="CA86" s="159"/>
      <c r="CB86" s="159"/>
      <c r="CC86" s="159"/>
      <c r="CD86" s="159"/>
      <c r="CE86" s="159"/>
      <c r="CF86" s="159"/>
      <c r="CG86" s="159"/>
      <c r="CH86" s="159"/>
      <c r="CI86" s="159"/>
      <c r="CJ86" s="159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59"/>
      <c r="CW86" s="159"/>
      <c r="CX86" s="159"/>
      <c r="CY86" s="134"/>
    </row>
    <row r="87" spans="1:103" ht="12.75" customHeight="1" x14ac:dyDescent="0.3">
      <c r="A87" s="155"/>
      <c r="B87" s="134"/>
      <c r="C87" s="134"/>
      <c r="D87" s="134"/>
      <c r="E87" s="157"/>
      <c r="F87" s="157"/>
      <c r="G87" s="157"/>
      <c r="H87" s="157"/>
      <c r="I87" s="158"/>
      <c r="J87" s="159"/>
      <c r="K87" s="159"/>
      <c r="L87" s="159"/>
      <c r="M87" s="160"/>
      <c r="N87" s="160"/>
      <c r="O87" s="160"/>
      <c r="P87" s="158"/>
      <c r="Q87" s="158"/>
      <c r="R87" s="158"/>
      <c r="S87" s="158"/>
      <c r="T87" s="158"/>
      <c r="U87" s="158"/>
      <c r="V87" s="159"/>
      <c r="W87" s="159"/>
      <c r="X87" s="159"/>
      <c r="Y87" s="158"/>
      <c r="Z87" s="159"/>
      <c r="AA87" s="160"/>
      <c r="AB87" s="160"/>
      <c r="AC87" s="160"/>
      <c r="AD87" s="160"/>
      <c r="AE87" s="160"/>
      <c r="AF87" s="159"/>
      <c r="AG87" s="159"/>
      <c r="AH87" s="159"/>
      <c r="AI87" s="159"/>
      <c r="AJ87" s="159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  <c r="BH87" s="167"/>
      <c r="BI87" s="167"/>
      <c r="BJ87" s="167"/>
      <c r="BK87" s="167"/>
      <c r="BL87" s="167"/>
      <c r="BM87" s="167"/>
      <c r="BN87" s="167"/>
      <c r="BO87" s="167"/>
      <c r="BP87" s="167"/>
      <c r="BQ87" s="167"/>
      <c r="BR87" s="167"/>
      <c r="BS87" s="167"/>
      <c r="BT87" s="167"/>
      <c r="BU87" s="167"/>
      <c r="BV87" s="167"/>
      <c r="BW87" s="159"/>
      <c r="BX87" s="159"/>
      <c r="BY87" s="159"/>
      <c r="BZ87" s="159"/>
      <c r="CA87" s="159"/>
      <c r="CB87" s="159"/>
      <c r="CC87" s="159"/>
      <c r="CD87" s="159"/>
      <c r="CE87" s="159"/>
      <c r="CF87" s="159"/>
      <c r="CG87" s="159"/>
      <c r="CH87" s="159"/>
      <c r="CI87" s="159"/>
      <c r="CJ87" s="159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59"/>
      <c r="CW87" s="159"/>
      <c r="CX87" s="159"/>
      <c r="CY87" s="134"/>
    </row>
    <row r="88" spans="1:103" ht="12.75" customHeight="1" x14ac:dyDescent="0.3">
      <c r="A88" s="155"/>
      <c r="B88" s="134"/>
      <c r="C88" s="134"/>
      <c r="D88" s="134"/>
      <c r="E88" s="157"/>
      <c r="F88" s="157"/>
      <c r="G88" s="157"/>
      <c r="H88" s="157"/>
      <c r="I88" s="158"/>
      <c r="J88" s="159"/>
      <c r="K88" s="159"/>
      <c r="L88" s="159"/>
      <c r="M88" s="160"/>
      <c r="N88" s="160"/>
      <c r="O88" s="160"/>
      <c r="P88" s="158"/>
      <c r="Q88" s="158"/>
      <c r="R88" s="158"/>
      <c r="S88" s="158"/>
      <c r="T88" s="158"/>
      <c r="U88" s="158"/>
      <c r="V88" s="159"/>
      <c r="W88" s="159"/>
      <c r="X88" s="159"/>
      <c r="Y88" s="158"/>
      <c r="Z88" s="159"/>
      <c r="AA88" s="160"/>
      <c r="AB88" s="160"/>
      <c r="AC88" s="160"/>
      <c r="AD88" s="160"/>
      <c r="AE88" s="160"/>
      <c r="AF88" s="159"/>
      <c r="AG88" s="159"/>
      <c r="AH88" s="159"/>
      <c r="AI88" s="159"/>
      <c r="AJ88" s="159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  <c r="BH88" s="167"/>
      <c r="BI88" s="167"/>
      <c r="BJ88" s="167"/>
      <c r="BK88" s="167"/>
      <c r="BL88" s="167"/>
      <c r="BM88" s="167"/>
      <c r="BN88" s="167"/>
      <c r="BO88" s="167"/>
      <c r="BP88" s="167"/>
      <c r="BQ88" s="167"/>
      <c r="BR88" s="167"/>
      <c r="BS88" s="167"/>
      <c r="BT88" s="167"/>
      <c r="BU88" s="167"/>
      <c r="BV88" s="167"/>
      <c r="BW88" s="159"/>
      <c r="BX88" s="159"/>
      <c r="BY88" s="159"/>
      <c r="BZ88" s="159"/>
      <c r="CA88" s="159"/>
      <c r="CB88" s="159"/>
      <c r="CC88" s="159"/>
      <c r="CD88" s="159"/>
      <c r="CE88" s="159"/>
      <c r="CF88" s="159"/>
      <c r="CG88" s="159"/>
      <c r="CH88" s="159"/>
      <c r="CI88" s="159"/>
      <c r="CJ88" s="159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59"/>
      <c r="CW88" s="159"/>
      <c r="CX88" s="159"/>
      <c r="CY88" s="134"/>
    </row>
    <row r="89" spans="1:103" ht="12.75" customHeight="1" x14ac:dyDescent="0.3">
      <c r="A89" s="155"/>
      <c r="B89" s="134"/>
      <c r="C89" s="134"/>
      <c r="D89" s="134"/>
      <c r="E89" s="157"/>
      <c r="F89" s="157"/>
      <c r="G89" s="157"/>
      <c r="H89" s="157"/>
      <c r="I89" s="158"/>
      <c r="J89" s="159"/>
      <c r="K89" s="159"/>
      <c r="L89" s="159"/>
      <c r="M89" s="160"/>
      <c r="N89" s="160"/>
      <c r="O89" s="160"/>
      <c r="P89" s="158"/>
      <c r="Q89" s="158"/>
      <c r="R89" s="158"/>
      <c r="S89" s="158"/>
      <c r="T89" s="158"/>
      <c r="U89" s="158"/>
      <c r="V89" s="159"/>
      <c r="W89" s="159"/>
      <c r="X89" s="159"/>
      <c r="Y89" s="158"/>
      <c r="Z89" s="159"/>
      <c r="AA89" s="160"/>
      <c r="AB89" s="160"/>
      <c r="AC89" s="160"/>
      <c r="AD89" s="160"/>
      <c r="AE89" s="160"/>
      <c r="AF89" s="159"/>
      <c r="AG89" s="159"/>
      <c r="AH89" s="159"/>
      <c r="AI89" s="159"/>
      <c r="AJ89" s="159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59"/>
      <c r="BX89" s="159"/>
      <c r="BY89" s="159"/>
      <c r="BZ89" s="159"/>
      <c r="CA89" s="159"/>
      <c r="CB89" s="159"/>
      <c r="CC89" s="159"/>
      <c r="CD89" s="159"/>
      <c r="CE89" s="159"/>
      <c r="CF89" s="159"/>
      <c r="CG89" s="159"/>
      <c r="CH89" s="159"/>
      <c r="CI89" s="159"/>
      <c r="CJ89" s="159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59"/>
      <c r="CW89" s="159"/>
      <c r="CX89" s="159"/>
      <c r="CY89" s="134"/>
    </row>
    <row r="90" spans="1:103" ht="12.75" customHeight="1" x14ac:dyDescent="0.3">
      <c r="A90" s="155"/>
      <c r="B90" s="134"/>
      <c r="C90" s="134"/>
      <c r="D90" s="134"/>
      <c r="E90" s="157"/>
      <c r="F90" s="157"/>
      <c r="G90" s="157"/>
      <c r="H90" s="157"/>
      <c r="I90" s="158"/>
      <c r="J90" s="159"/>
      <c r="K90" s="159"/>
      <c r="L90" s="159"/>
      <c r="M90" s="160"/>
      <c r="N90" s="160"/>
      <c r="O90" s="160"/>
      <c r="P90" s="158"/>
      <c r="Q90" s="158"/>
      <c r="R90" s="158"/>
      <c r="S90" s="158"/>
      <c r="T90" s="158"/>
      <c r="U90" s="158"/>
      <c r="V90" s="159"/>
      <c r="W90" s="159"/>
      <c r="X90" s="159"/>
      <c r="Y90" s="158"/>
      <c r="Z90" s="159"/>
      <c r="AA90" s="160"/>
      <c r="AB90" s="160"/>
      <c r="AC90" s="160"/>
      <c r="AD90" s="160"/>
      <c r="AE90" s="160"/>
      <c r="AF90" s="159"/>
      <c r="AG90" s="159"/>
      <c r="AH90" s="159"/>
      <c r="AI90" s="159"/>
      <c r="AJ90" s="159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167"/>
      <c r="BQ90" s="167"/>
      <c r="BR90" s="167"/>
      <c r="BS90" s="167"/>
      <c r="BT90" s="167"/>
      <c r="BU90" s="167"/>
      <c r="BV90" s="167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34"/>
    </row>
    <row r="91" spans="1:103" ht="12.75" customHeight="1" x14ac:dyDescent="0.3">
      <c r="A91" s="155"/>
      <c r="B91" s="134"/>
      <c r="C91" s="134"/>
      <c r="D91" s="134"/>
      <c r="E91" s="157"/>
      <c r="F91" s="157"/>
      <c r="G91" s="157"/>
      <c r="H91" s="157"/>
      <c r="I91" s="158"/>
      <c r="J91" s="159"/>
      <c r="K91" s="159"/>
      <c r="L91" s="159"/>
      <c r="M91" s="160"/>
      <c r="N91" s="160"/>
      <c r="O91" s="160"/>
      <c r="P91" s="158"/>
      <c r="Q91" s="158"/>
      <c r="R91" s="158"/>
      <c r="S91" s="158"/>
      <c r="T91" s="158"/>
      <c r="U91" s="158"/>
      <c r="V91" s="159"/>
      <c r="W91" s="159"/>
      <c r="X91" s="159"/>
      <c r="Y91" s="158"/>
      <c r="Z91" s="159"/>
      <c r="AA91" s="160"/>
      <c r="AB91" s="160"/>
      <c r="AC91" s="160"/>
      <c r="AD91" s="160"/>
      <c r="AE91" s="160"/>
      <c r="AF91" s="159"/>
      <c r="AG91" s="159"/>
      <c r="AH91" s="159"/>
      <c r="AI91" s="159"/>
      <c r="AJ91" s="159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  <c r="BH91" s="167"/>
      <c r="BI91" s="167"/>
      <c r="BJ91" s="167"/>
      <c r="BK91" s="167"/>
      <c r="BL91" s="167"/>
      <c r="BM91" s="167"/>
      <c r="BN91" s="167"/>
      <c r="BO91" s="167"/>
      <c r="BP91" s="167"/>
      <c r="BQ91" s="167"/>
      <c r="BR91" s="167"/>
      <c r="BS91" s="167"/>
      <c r="BT91" s="167"/>
      <c r="BU91" s="167"/>
      <c r="BV91" s="167"/>
      <c r="BW91" s="159"/>
      <c r="BX91" s="159"/>
      <c r="BY91" s="159"/>
      <c r="BZ91" s="159"/>
      <c r="CA91" s="159"/>
      <c r="CB91" s="159"/>
      <c r="CC91" s="159"/>
      <c r="CD91" s="159"/>
      <c r="CE91" s="159"/>
      <c r="CF91" s="159"/>
      <c r="CG91" s="159"/>
      <c r="CH91" s="159"/>
      <c r="CI91" s="159"/>
      <c r="CJ91" s="159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59"/>
      <c r="CW91" s="159"/>
      <c r="CX91" s="159"/>
      <c r="CY91" s="134"/>
    </row>
    <row r="92" spans="1:103" ht="12.75" customHeight="1" x14ac:dyDescent="0.3">
      <c r="A92" s="155"/>
      <c r="B92" s="134"/>
      <c r="C92" s="134"/>
      <c r="D92" s="134"/>
      <c r="E92" s="157"/>
      <c r="F92" s="157"/>
      <c r="G92" s="157"/>
      <c r="H92" s="157"/>
      <c r="I92" s="158"/>
      <c r="J92" s="159"/>
      <c r="K92" s="159"/>
      <c r="L92" s="159"/>
      <c r="M92" s="160"/>
      <c r="N92" s="160"/>
      <c r="O92" s="160"/>
      <c r="P92" s="158"/>
      <c r="Q92" s="158"/>
      <c r="R92" s="158"/>
      <c r="S92" s="158"/>
      <c r="T92" s="158"/>
      <c r="U92" s="158"/>
      <c r="V92" s="159"/>
      <c r="W92" s="159"/>
      <c r="X92" s="159"/>
      <c r="Y92" s="158"/>
      <c r="Z92" s="159"/>
      <c r="AA92" s="160"/>
      <c r="AB92" s="160"/>
      <c r="AC92" s="160"/>
      <c r="AD92" s="160"/>
      <c r="AE92" s="160"/>
      <c r="AF92" s="159"/>
      <c r="AG92" s="159"/>
      <c r="AH92" s="159"/>
      <c r="AI92" s="159"/>
      <c r="AJ92" s="159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  <c r="BH92" s="167"/>
      <c r="BI92" s="167"/>
      <c r="BJ92" s="167"/>
      <c r="BK92" s="167"/>
      <c r="BL92" s="167"/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59"/>
      <c r="BX92" s="159"/>
      <c r="BY92" s="159"/>
      <c r="BZ92" s="159"/>
      <c r="CA92" s="159"/>
      <c r="CB92" s="159"/>
      <c r="CC92" s="159"/>
      <c r="CD92" s="159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34"/>
    </row>
    <row r="93" spans="1:103" ht="12.75" customHeight="1" x14ac:dyDescent="0.3">
      <c r="A93" s="155"/>
      <c r="B93" s="134"/>
      <c r="C93" s="134"/>
      <c r="D93" s="134"/>
      <c r="E93" s="157"/>
      <c r="F93" s="157"/>
      <c r="G93" s="157"/>
      <c r="H93" s="157"/>
      <c r="I93" s="158"/>
      <c r="J93" s="159"/>
      <c r="K93" s="159"/>
      <c r="L93" s="159"/>
      <c r="M93" s="160"/>
      <c r="N93" s="160"/>
      <c r="O93" s="160"/>
      <c r="P93" s="158"/>
      <c r="Q93" s="158"/>
      <c r="R93" s="158"/>
      <c r="S93" s="158"/>
      <c r="T93" s="158"/>
      <c r="U93" s="158"/>
      <c r="V93" s="159"/>
      <c r="W93" s="159"/>
      <c r="X93" s="159"/>
      <c r="Y93" s="158"/>
      <c r="Z93" s="159"/>
      <c r="AA93" s="160"/>
      <c r="AB93" s="160"/>
      <c r="AC93" s="160"/>
      <c r="AD93" s="160"/>
      <c r="AE93" s="160"/>
      <c r="AF93" s="159"/>
      <c r="AG93" s="159"/>
      <c r="AH93" s="159"/>
      <c r="AI93" s="159"/>
      <c r="AJ93" s="159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  <c r="BH93" s="167"/>
      <c r="BI93" s="167"/>
      <c r="BJ93" s="167"/>
      <c r="BK93" s="167"/>
      <c r="BL93" s="167"/>
      <c r="BM93" s="167"/>
      <c r="BN93" s="167"/>
      <c r="BO93" s="167"/>
      <c r="BP93" s="167"/>
      <c r="BQ93" s="167"/>
      <c r="BR93" s="167"/>
      <c r="BS93" s="167"/>
      <c r="BT93" s="167"/>
      <c r="BU93" s="167"/>
      <c r="BV93" s="167"/>
      <c r="BW93" s="159"/>
      <c r="BX93" s="159"/>
      <c r="BY93" s="159"/>
      <c r="BZ93" s="159"/>
      <c r="CA93" s="159"/>
      <c r="CB93" s="159"/>
      <c r="CC93" s="159"/>
      <c r="CD93" s="159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34"/>
    </row>
    <row r="94" spans="1:103" ht="12.75" customHeight="1" x14ac:dyDescent="0.3">
      <c r="A94" s="155"/>
      <c r="B94" s="134"/>
      <c r="C94" s="134"/>
      <c r="D94" s="134"/>
      <c r="E94" s="157"/>
      <c r="F94" s="157"/>
      <c r="G94" s="157"/>
      <c r="H94" s="157"/>
      <c r="I94" s="158"/>
      <c r="J94" s="159"/>
      <c r="K94" s="159"/>
      <c r="L94" s="159"/>
      <c r="M94" s="160"/>
      <c r="N94" s="160"/>
      <c r="O94" s="160"/>
      <c r="P94" s="158"/>
      <c r="Q94" s="158"/>
      <c r="R94" s="158"/>
      <c r="S94" s="158"/>
      <c r="T94" s="158"/>
      <c r="U94" s="158"/>
      <c r="V94" s="159"/>
      <c r="W94" s="159"/>
      <c r="X94" s="159"/>
      <c r="Y94" s="158"/>
      <c r="Z94" s="159"/>
      <c r="AA94" s="160"/>
      <c r="AB94" s="160"/>
      <c r="AC94" s="160"/>
      <c r="AD94" s="160"/>
      <c r="AE94" s="160"/>
      <c r="AF94" s="159"/>
      <c r="AG94" s="159"/>
      <c r="AH94" s="159"/>
      <c r="AI94" s="159"/>
      <c r="AJ94" s="159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7"/>
      <c r="BQ94" s="167"/>
      <c r="BR94" s="167"/>
      <c r="BS94" s="167"/>
      <c r="BT94" s="167"/>
      <c r="BU94" s="167"/>
      <c r="BV94" s="167"/>
      <c r="BW94" s="159"/>
      <c r="BX94" s="159"/>
      <c r="BY94" s="159"/>
      <c r="BZ94" s="159"/>
      <c r="CA94" s="159"/>
      <c r="CB94" s="159"/>
      <c r="CC94" s="159"/>
      <c r="CD94" s="159"/>
      <c r="CE94" s="159"/>
      <c r="CF94" s="159"/>
      <c r="CG94" s="159"/>
      <c r="CH94" s="159"/>
      <c r="CI94" s="159"/>
      <c r="CJ94" s="159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59"/>
      <c r="CW94" s="159"/>
      <c r="CX94" s="159"/>
      <c r="CY94" s="134"/>
    </row>
    <row r="95" spans="1:103" ht="12.75" customHeight="1" x14ac:dyDescent="0.3">
      <c r="A95" s="155"/>
      <c r="B95" s="134"/>
      <c r="C95" s="134"/>
      <c r="D95" s="134"/>
      <c r="E95" s="157"/>
      <c r="F95" s="157"/>
      <c r="G95" s="157"/>
      <c r="H95" s="157"/>
      <c r="I95" s="158"/>
      <c r="J95" s="159"/>
      <c r="K95" s="159"/>
      <c r="L95" s="159"/>
      <c r="M95" s="160"/>
      <c r="N95" s="160"/>
      <c r="O95" s="160"/>
      <c r="P95" s="158"/>
      <c r="Q95" s="158"/>
      <c r="R95" s="158"/>
      <c r="S95" s="158"/>
      <c r="T95" s="158"/>
      <c r="U95" s="158"/>
      <c r="V95" s="159"/>
      <c r="W95" s="159"/>
      <c r="X95" s="159"/>
      <c r="Y95" s="158"/>
      <c r="Z95" s="159"/>
      <c r="AA95" s="160"/>
      <c r="AB95" s="160"/>
      <c r="AC95" s="160"/>
      <c r="AD95" s="160"/>
      <c r="AE95" s="160"/>
      <c r="AF95" s="159"/>
      <c r="AG95" s="159"/>
      <c r="AH95" s="159"/>
      <c r="AI95" s="159"/>
      <c r="AJ95" s="159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67"/>
      <c r="BL95" s="167"/>
      <c r="BM95" s="167"/>
      <c r="BN95" s="167"/>
      <c r="BO95" s="167"/>
      <c r="BP95" s="167"/>
      <c r="BQ95" s="167"/>
      <c r="BR95" s="167"/>
      <c r="BS95" s="167"/>
      <c r="BT95" s="167"/>
      <c r="BU95" s="167"/>
      <c r="BV95" s="167"/>
      <c r="BW95" s="159"/>
      <c r="BX95" s="159"/>
      <c r="BY95" s="159"/>
      <c r="BZ95" s="159"/>
      <c r="CA95" s="159"/>
      <c r="CB95" s="159"/>
      <c r="CC95" s="159"/>
      <c r="CD95" s="159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34"/>
    </row>
    <row r="96" spans="1:103" ht="12.75" customHeight="1" x14ac:dyDescent="0.3">
      <c r="A96" s="155"/>
      <c r="B96" s="134"/>
      <c r="C96" s="134"/>
      <c r="D96" s="134"/>
      <c r="E96" s="157"/>
      <c r="F96" s="157"/>
      <c r="G96" s="157"/>
      <c r="H96" s="157"/>
      <c r="I96" s="158"/>
      <c r="J96" s="159"/>
      <c r="K96" s="159"/>
      <c r="L96" s="159"/>
      <c r="M96" s="160"/>
      <c r="N96" s="160"/>
      <c r="O96" s="160"/>
      <c r="P96" s="158"/>
      <c r="Q96" s="158"/>
      <c r="R96" s="158"/>
      <c r="S96" s="158"/>
      <c r="T96" s="158"/>
      <c r="U96" s="158"/>
      <c r="V96" s="159"/>
      <c r="W96" s="159"/>
      <c r="X96" s="159"/>
      <c r="Y96" s="158"/>
      <c r="Z96" s="159"/>
      <c r="AA96" s="160"/>
      <c r="AB96" s="160"/>
      <c r="AC96" s="160"/>
      <c r="AD96" s="160"/>
      <c r="AE96" s="160"/>
      <c r="AF96" s="159"/>
      <c r="AG96" s="159"/>
      <c r="AH96" s="159"/>
      <c r="AI96" s="159"/>
      <c r="AJ96" s="159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59"/>
      <c r="BX96" s="159"/>
      <c r="BY96" s="159"/>
      <c r="BZ96" s="159"/>
      <c r="CA96" s="159"/>
      <c r="CB96" s="159"/>
      <c r="CC96" s="159"/>
      <c r="CD96" s="159"/>
      <c r="CE96" s="159"/>
      <c r="CF96" s="159"/>
      <c r="CG96" s="159"/>
      <c r="CH96" s="159"/>
      <c r="CI96" s="159"/>
      <c r="CJ96" s="159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59"/>
      <c r="CW96" s="159"/>
      <c r="CX96" s="159"/>
      <c r="CY96" s="134"/>
    </row>
    <row r="97" spans="1:103" ht="12.75" customHeight="1" x14ac:dyDescent="0.3">
      <c r="A97" s="155"/>
      <c r="B97" s="134"/>
      <c r="C97" s="134"/>
      <c r="D97" s="134"/>
      <c r="E97" s="157"/>
      <c r="F97" s="157"/>
      <c r="G97" s="157"/>
      <c r="H97" s="157"/>
      <c r="I97" s="158"/>
      <c r="J97" s="159"/>
      <c r="K97" s="159"/>
      <c r="L97" s="159"/>
      <c r="M97" s="160"/>
      <c r="N97" s="160"/>
      <c r="O97" s="160"/>
      <c r="P97" s="158"/>
      <c r="Q97" s="158"/>
      <c r="R97" s="158"/>
      <c r="S97" s="158"/>
      <c r="T97" s="158"/>
      <c r="U97" s="158"/>
      <c r="V97" s="159"/>
      <c r="W97" s="159"/>
      <c r="X97" s="159"/>
      <c r="Y97" s="158"/>
      <c r="Z97" s="159"/>
      <c r="AA97" s="160"/>
      <c r="AB97" s="160"/>
      <c r="AC97" s="160"/>
      <c r="AD97" s="160"/>
      <c r="AE97" s="160"/>
      <c r="AF97" s="159"/>
      <c r="AG97" s="159"/>
      <c r="AH97" s="159"/>
      <c r="AI97" s="159"/>
      <c r="AJ97" s="159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7"/>
      <c r="BI97" s="167"/>
      <c r="BJ97" s="167"/>
      <c r="BK97" s="167"/>
      <c r="BL97" s="167"/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59"/>
      <c r="BX97" s="159"/>
      <c r="BY97" s="159"/>
      <c r="BZ97" s="159"/>
      <c r="CA97" s="159"/>
      <c r="CB97" s="159"/>
      <c r="CC97" s="159"/>
      <c r="CD97" s="159"/>
      <c r="CE97" s="159"/>
      <c r="CF97" s="159"/>
      <c r="CG97" s="159"/>
      <c r="CH97" s="159"/>
      <c r="CI97" s="159"/>
      <c r="CJ97" s="159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59"/>
      <c r="CW97" s="159"/>
      <c r="CX97" s="159"/>
      <c r="CY97" s="134"/>
    </row>
    <row r="98" spans="1:103" ht="12.75" customHeight="1" x14ac:dyDescent="0.3">
      <c r="A98" s="155"/>
      <c r="B98" s="134"/>
      <c r="C98" s="134"/>
      <c r="D98" s="134"/>
      <c r="E98" s="157"/>
      <c r="F98" s="157"/>
      <c r="G98" s="157"/>
      <c r="H98" s="157"/>
      <c r="I98" s="158"/>
      <c r="J98" s="159"/>
      <c r="K98" s="159"/>
      <c r="L98" s="159"/>
      <c r="M98" s="160"/>
      <c r="N98" s="160"/>
      <c r="O98" s="160"/>
      <c r="P98" s="158"/>
      <c r="Q98" s="158"/>
      <c r="R98" s="158"/>
      <c r="S98" s="158"/>
      <c r="T98" s="158"/>
      <c r="U98" s="158"/>
      <c r="V98" s="159"/>
      <c r="W98" s="159"/>
      <c r="X98" s="159"/>
      <c r="Y98" s="158"/>
      <c r="Z98" s="159"/>
      <c r="AA98" s="160"/>
      <c r="AB98" s="160"/>
      <c r="AC98" s="160"/>
      <c r="AD98" s="160"/>
      <c r="AE98" s="160"/>
      <c r="AF98" s="159"/>
      <c r="AG98" s="159"/>
      <c r="AH98" s="159"/>
      <c r="AI98" s="159"/>
      <c r="AJ98" s="159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7"/>
      <c r="BJ98" s="167"/>
      <c r="BK98" s="167"/>
      <c r="BL98" s="167"/>
      <c r="BM98" s="167"/>
      <c r="BN98" s="167"/>
      <c r="BO98" s="167"/>
      <c r="BP98" s="167"/>
      <c r="BQ98" s="167"/>
      <c r="BR98" s="167"/>
      <c r="BS98" s="167"/>
      <c r="BT98" s="167"/>
      <c r="BU98" s="167"/>
      <c r="BV98" s="167"/>
      <c r="BW98" s="159"/>
      <c r="BX98" s="159"/>
      <c r="BY98" s="159"/>
      <c r="BZ98" s="159"/>
      <c r="CA98" s="159"/>
      <c r="CB98" s="159"/>
      <c r="CC98" s="159"/>
      <c r="CD98" s="159"/>
      <c r="CE98" s="159"/>
      <c r="CF98" s="159"/>
      <c r="CG98" s="159"/>
      <c r="CH98" s="159"/>
      <c r="CI98" s="159"/>
      <c r="CJ98" s="159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59"/>
      <c r="CW98" s="159"/>
      <c r="CX98" s="159"/>
      <c r="CY98" s="134"/>
    </row>
    <row r="99" spans="1:103" ht="12.75" customHeight="1" x14ac:dyDescent="0.3">
      <c r="A99" s="155"/>
      <c r="B99" s="134"/>
      <c r="C99" s="134"/>
      <c r="D99" s="134"/>
      <c r="E99" s="157"/>
      <c r="F99" s="157"/>
      <c r="G99" s="157"/>
      <c r="H99" s="157"/>
      <c r="I99" s="158"/>
      <c r="J99" s="159"/>
      <c r="K99" s="159"/>
      <c r="L99" s="159"/>
      <c r="M99" s="160"/>
      <c r="N99" s="160"/>
      <c r="O99" s="160"/>
      <c r="P99" s="158"/>
      <c r="Q99" s="158"/>
      <c r="R99" s="158"/>
      <c r="S99" s="158"/>
      <c r="T99" s="158"/>
      <c r="U99" s="158"/>
      <c r="V99" s="159"/>
      <c r="W99" s="159"/>
      <c r="X99" s="159"/>
      <c r="Y99" s="158"/>
      <c r="Z99" s="159"/>
      <c r="AA99" s="160"/>
      <c r="AB99" s="160"/>
      <c r="AC99" s="160"/>
      <c r="AD99" s="160"/>
      <c r="AE99" s="160"/>
      <c r="AF99" s="159"/>
      <c r="AG99" s="159"/>
      <c r="AH99" s="159"/>
      <c r="AI99" s="159"/>
      <c r="AJ99" s="159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  <c r="BH99" s="167"/>
      <c r="BI99" s="167"/>
      <c r="BJ99" s="167"/>
      <c r="BK99" s="167"/>
      <c r="BL99" s="167"/>
      <c r="BM99" s="167"/>
      <c r="BN99" s="167"/>
      <c r="BO99" s="167"/>
      <c r="BP99" s="167"/>
      <c r="BQ99" s="167"/>
      <c r="BR99" s="167"/>
      <c r="BS99" s="167"/>
      <c r="BT99" s="167"/>
      <c r="BU99" s="167"/>
      <c r="BV99" s="167"/>
      <c r="BW99" s="159"/>
      <c r="BX99" s="159"/>
      <c r="BY99" s="159"/>
      <c r="BZ99" s="159"/>
      <c r="CA99" s="159"/>
      <c r="CB99" s="159"/>
      <c r="CC99" s="159"/>
      <c r="CD99" s="159"/>
      <c r="CE99" s="159"/>
      <c r="CF99" s="159"/>
      <c r="CG99" s="159"/>
      <c r="CH99" s="159"/>
      <c r="CI99" s="159"/>
      <c r="CJ99" s="159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59"/>
      <c r="CW99" s="159"/>
      <c r="CX99" s="159"/>
      <c r="CY99" s="134"/>
    </row>
    <row r="100" spans="1:103" ht="12.75" customHeight="1" x14ac:dyDescent="0.3">
      <c r="A100" s="155"/>
      <c r="B100" s="134"/>
      <c r="C100" s="134"/>
      <c r="D100" s="134"/>
      <c r="E100" s="157"/>
      <c r="F100" s="157"/>
      <c r="G100" s="157"/>
      <c r="H100" s="157"/>
      <c r="I100" s="158"/>
      <c r="J100" s="159"/>
      <c r="K100" s="159"/>
      <c r="L100" s="159"/>
      <c r="M100" s="160"/>
      <c r="N100" s="160"/>
      <c r="O100" s="160"/>
      <c r="P100" s="158"/>
      <c r="Q100" s="158"/>
      <c r="R100" s="158"/>
      <c r="S100" s="158"/>
      <c r="T100" s="158"/>
      <c r="U100" s="158"/>
      <c r="V100" s="159"/>
      <c r="W100" s="159"/>
      <c r="X100" s="159"/>
      <c r="Y100" s="158"/>
      <c r="Z100" s="159"/>
      <c r="AA100" s="160"/>
      <c r="AB100" s="160"/>
      <c r="AC100" s="160"/>
      <c r="AD100" s="160"/>
      <c r="AE100" s="160"/>
      <c r="AF100" s="159"/>
      <c r="AG100" s="159"/>
      <c r="AH100" s="159"/>
      <c r="AI100" s="159"/>
      <c r="AJ100" s="159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7"/>
      <c r="BI100" s="167"/>
      <c r="BJ100" s="167"/>
      <c r="BK100" s="167"/>
      <c r="BL100" s="167"/>
      <c r="BM100" s="167"/>
      <c r="BN100" s="167"/>
      <c r="BO100" s="167"/>
      <c r="BP100" s="167"/>
      <c r="BQ100" s="167"/>
      <c r="BR100" s="167"/>
      <c r="BS100" s="167"/>
      <c r="BT100" s="167"/>
      <c r="BU100" s="167"/>
      <c r="BV100" s="167"/>
      <c r="BW100" s="159"/>
      <c r="BX100" s="159"/>
      <c r="BY100" s="159"/>
      <c r="BZ100" s="159"/>
      <c r="CA100" s="159"/>
      <c r="CB100" s="159"/>
      <c r="CC100" s="159"/>
      <c r="CD100" s="159"/>
      <c r="CE100" s="159"/>
      <c r="CF100" s="159"/>
      <c r="CG100" s="159"/>
      <c r="CH100" s="159"/>
      <c r="CI100" s="159"/>
      <c r="CJ100" s="159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59"/>
      <c r="CW100" s="159"/>
      <c r="CX100" s="159"/>
      <c r="CY100" s="134"/>
    </row>
    <row r="101" spans="1:103" ht="12.75" customHeight="1" x14ac:dyDescent="0.3">
      <c r="A101" s="155"/>
      <c r="B101" s="134"/>
      <c r="C101" s="134"/>
      <c r="D101" s="134"/>
      <c r="E101" s="157"/>
      <c r="F101" s="157"/>
      <c r="G101" s="157"/>
      <c r="H101" s="157"/>
      <c r="I101" s="158"/>
      <c r="J101" s="159"/>
      <c r="K101" s="159"/>
      <c r="L101" s="159"/>
      <c r="M101" s="160"/>
      <c r="N101" s="160"/>
      <c r="O101" s="160"/>
      <c r="P101" s="158"/>
      <c r="Q101" s="158"/>
      <c r="R101" s="158"/>
      <c r="S101" s="158"/>
      <c r="T101" s="158"/>
      <c r="U101" s="158"/>
      <c r="V101" s="159"/>
      <c r="W101" s="159"/>
      <c r="X101" s="159"/>
      <c r="Y101" s="158"/>
      <c r="Z101" s="159"/>
      <c r="AA101" s="160"/>
      <c r="AB101" s="160"/>
      <c r="AC101" s="160"/>
      <c r="AD101" s="160"/>
      <c r="AE101" s="160"/>
      <c r="AF101" s="159"/>
      <c r="AG101" s="159"/>
      <c r="AH101" s="159"/>
      <c r="AI101" s="159"/>
      <c r="AJ101" s="159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  <c r="BH101" s="167"/>
      <c r="BI101" s="167"/>
      <c r="BJ101" s="167"/>
      <c r="BK101" s="167"/>
      <c r="BL101" s="167"/>
      <c r="BM101" s="167"/>
      <c r="BN101" s="167"/>
      <c r="BO101" s="167"/>
      <c r="BP101" s="167"/>
      <c r="BQ101" s="167"/>
      <c r="BR101" s="167"/>
      <c r="BS101" s="167"/>
      <c r="BT101" s="167"/>
      <c r="BU101" s="167"/>
      <c r="BV101" s="167"/>
      <c r="BW101" s="159"/>
      <c r="BX101" s="159"/>
      <c r="BY101" s="159"/>
      <c r="BZ101" s="159"/>
      <c r="CA101" s="159"/>
      <c r="CB101" s="159"/>
      <c r="CC101" s="159"/>
      <c r="CD101" s="159"/>
      <c r="CE101" s="159"/>
      <c r="CF101" s="159"/>
      <c r="CG101" s="159"/>
      <c r="CH101" s="159"/>
      <c r="CI101" s="159"/>
      <c r="CJ101" s="159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59"/>
      <c r="CW101" s="159"/>
      <c r="CX101" s="159"/>
      <c r="CY101" s="134"/>
    </row>
    <row r="102" spans="1:103" ht="12.75" customHeight="1" x14ac:dyDescent="0.3">
      <c r="A102" s="155"/>
      <c r="B102" s="134"/>
      <c r="C102" s="134"/>
      <c r="D102" s="134"/>
      <c r="E102" s="157"/>
      <c r="F102" s="157"/>
      <c r="G102" s="157"/>
      <c r="H102" s="157"/>
      <c r="I102" s="158"/>
      <c r="J102" s="159"/>
      <c r="K102" s="159"/>
      <c r="L102" s="159"/>
      <c r="M102" s="160"/>
      <c r="N102" s="160"/>
      <c r="O102" s="160"/>
      <c r="P102" s="158"/>
      <c r="Q102" s="158"/>
      <c r="R102" s="158"/>
      <c r="S102" s="158"/>
      <c r="T102" s="158"/>
      <c r="U102" s="158"/>
      <c r="V102" s="159"/>
      <c r="W102" s="159"/>
      <c r="X102" s="159"/>
      <c r="Y102" s="158"/>
      <c r="Z102" s="159"/>
      <c r="AA102" s="160"/>
      <c r="AB102" s="160"/>
      <c r="AC102" s="160"/>
      <c r="AD102" s="160"/>
      <c r="AE102" s="160"/>
      <c r="AF102" s="159"/>
      <c r="AG102" s="159"/>
      <c r="AH102" s="159"/>
      <c r="AI102" s="159"/>
      <c r="AJ102" s="159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  <c r="BH102" s="167"/>
      <c r="BI102" s="167"/>
      <c r="BJ102" s="167"/>
      <c r="BK102" s="167"/>
      <c r="BL102" s="167"/>
      <c r="BM102" s="167"/>
      <c r="BN102" s="167"/>
      <c r="BO102" s="167"/>
      <c r="BP102" s="167"/>
      <c r="BQ102" s="167"/>
      <c r="BR102" s="167"/>
      <c r="BS102" s="167"/>
      <c r="BT102" s="167"/>
      <c r="BU102" s="167"/>
      <c r="BV102" s="167"/>
      <c r="BW102" s="159"/>
      <c r="BX102" s="159"/>
      <c r="BY102" s="159"/>
      <c r="BZ102" s="159"/>
      <c r="CA102" s="159"/>
      <c r="CB102" s="159"/>
      <c r="CC102" s="159"/>
      <c r="CD102" s="159"/>
      <c r="CE102" s="159"/>
      <c r="CF102" s="159"/>
      <c r="CG102" s="159"/>
      <c r="CH102" s="159"/>
      <c r="CI102" s="159"/>
      <c r="CJ102" s="159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59"/>
      <c r="CW102" s="159"/>
      <c r="CX102" s="159"/>
      <c r="CY102" s="134"/>
    </row>
    <row r="103" spans="1:103" ht="12.75" customHeight="1" x14ac:dyDescent="0.3">
      <c r="A103" s="155"/>
      <c r="B103" s="134"/>
      <c r="C103" s="134"/>
      <c r="D103" s="134"/>
      <c r="E103" s="157"/>
      <c r="F103" s="157"/>
      <c r="G103" s="157"/>
      <c r="H103" s="157"/>
      <c r="I103" s="158"/>
      <c r="J103" s="159"/>
      <c r="K103" s="159"/>
      <c r="L103" s="159"/>
      <c r="M103" s="160"/>
      <c r="N103" s="160"/>
      <c r="O103" s="160"/>
      <c r="P103" s="158"/>
      <c r="Q103" s="158"/>
      <c r="R103" s="158"/>
      <c r="S103" s="158"/>
      <c r="T103" s="158"/>
      <c r="U103" s="158"/>
      <c r="V103" s="159"/>
      <c r="W103" s="159"/>
      <c r="X103" s="159"/>
      <c r="Y103" s="158"/>
      <c r="Z103" s="159"/>
      <c r="AA103" s="160"/>
      <c r="AB103" s="160"/>
      <c r="AC103" s="160"/>
      <c r="AD103" s="160"/>
      <c r="AE103" s="160"/>
      <c r="AF103" s="159"/>
      <c r="AG103" s="159"/>
      <c r="AH103" s="159"/>
      <c r="AI103" s="159"/>
      <c r="AJ103" s="159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59"/>
      <c r="BX103" s="159"/>
      <c r="BY103" s="159"/>
      <c r="BZ103" s="159"/>
      <c r="CA103" s="159"/>
      <c r="CB103" s="159"/>
      <c r="CC103" s="159"/>
      <c r="CD103" s="159"/>
      <c r="CE103" s="159"/>
      <c r="CF103" s="159"/>
      <c r="CG103" s="159"/>
      <c r="CH103" s="159"/>
      <c r="CI103" s="159"/>
      <c r="CJ103" s="159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59"/>
      <c r="CW103" s="159"/>
      <c r="CX103" s="159"/>
      <c r="CY103" s="134"/>
    </row>
    <row r="104" spans="1:103" ht="12.75" customHeight="1" x14ac:dyDescent="0.3">
      <c r="A104" s="155"/>
      <c r="B104" s="134"/>
      <c r="C104" s="134"/>
      <c r="D104" s="134"/>
      <c r="E104" s="157"/>
      <c r="F104" s="157"/>
      <c r="G104" s="157"/>
      <c r="H104" s="157"/>
      <c r="I104" s="158"/>
      <c r="J104" s="159"/>
      <c r="K104" s="159"/>
      <c r="L104" s="159"/>
      <c r="M104" s="160"/>
      <c r="N104" s="160"/>
      <c r="O104" s="160"/>
      <c r="P104" s="158"/>
      <c r="Q104" s="158"/>
      <c r="R104" s="158"/>
      <c r="S104" s="158"/>
      <c r="T104" s="158"/>
      <c r="U104" s="158"/>
      <c r="V104" s="159"/>
      <c r="W104" s="159"/>
      <c r="X104" s="159"/>
      <c r="Y104" s="158"/>
      <c r="Z104" s="159"/>
      <c r="AA104" s="160"/>
      <c r="AB104" s="160"/>
      <c r="AC104" s="160"/>
      <c r="AD104" s="160"/>
      <c r="AE104" s="160"/>
      <c r="AF104" s="159"/>
      <c r="AG104" s="159"/>
      <c r="AH104" s="159"/>
      <c r="AI104" s="159"/>
      <c r="AJ104" s="159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  <c r="BH104" s="167"/>
      <c r="BI104" s="167"/>
      <c r="BJ104" s="167"/>
      <c r="BK104" s="167"/>
      <c r="BL104" s="167"/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59"/>
      <c r="BX104" s="159"/>
      <c r="BY104" s="159"/>
      <c r="BZ104" s="159"/>
      <c r="CA104" s="159"/>
      <c r="CB104" s="159"/>
      <c r="CC104" s="159"/>
      <c r="CD104" s="159"/>
      <c r="CE104" s="159"/>
      <c r="CF104" s="159"/>
      <c r="CG104" s="159"/>
      <c r="CH104" s="159"/>
      <c r="CI104" s="159"/>
      <c r="CJ104" s="159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59"/>
      <c r="CW104" s="159"/>
      <c r="CX104" s="159"/>
      <c r="CY104" s="134"/>
    </row>
    <row r="105" spans="1:103" ht="12.75" customHeight="1" x14ac:dyDescent="0.3">
      <c r="A105" s="155"/>
      <c r="B105" s="134"/>
      <c r="C105" s="134"/>
      <c r="D105" s="134"/>
      <c r="E105" s="157"/>
      <c r="F105" s="157"/>
      <c r="G105" s="157"/>
      <c r="H105" s="157"/>
      <c r="I105" s="158"/>
      <c r="J105" s="159"/>
      <c r="K105" s="159"/>
      <c r="L105" s="159"/>
      <c r="M105" s="160"/>
      <c r="N105" s="160"/>
      <c r="O105" s="160"/>
      <c r="P105" s="158"/>
      <c r="Q105" s="158"/>
      <c r="R105" s="158"/>
      <c r="S105" s="158"/>
      <c r="T105" s="158"/>
      <c r="U105" s="158"/>
      <c r="V105" s="159"/>
      <c r="W105" s="159"/>
      <c r="X105" s="159"/>
      <c r="Y105" s="158"/>
      <c r="Z105" s="159"/>
      <c r="AA105" s="160"/>
      <c r="AB105" s="160"/>
      <c r="AC105" s="160"/>
      <c r="AD105" s="160"/>
      <c r="AE105" s="160"/>
      <c r="AF105" s="159"/>
      <c r="AG105" s="159"/>
      <c r="AH105" s="159"/>
      <c r="AI105" s="159"/>
      <c r="AJ105" s="159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  <c r="BH105" s="167"/>
      <c r="BI105" s="167"/>
      <c r="BJ105" s="167"/>
      <c r="BK105" s="167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59"/>
      <c r="BX105" s="159"/>
      <c r="BY105" s="159"/>
      <c r="BZ105" s="159"/>
      <c r="CA105" s="159"/>
      <c r="CB105" s="159"/>
      <c r="CC105" s="159"/>
      <c r="CD105" s="159"/>
      <c r="CE105" s="159"/>
      <c r="CF105" s="159"/>
      <c r="CG105" s="159"/>
      <c r="CH105" s="159"/>
      <c r="CI105" s="159"/>
      <c r="CJ105" s="159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59"/>
      <c r="CW105" s="159"/>
      <c r="CX105" s="159"/>
      <c r="CY105" s="134"/>
    </row>
    <row r="106" spans="1:103" ht="12.75" customHeight="1" x14ac:dyDescent="0.3">
      <c r="A106" s="155"/>
      <c r="B106" s="134"/>
      <c r="C106" s="134"/>
      <c r="D106" s="134"/>
      <c r="E106" s="157"/>
      <c r="F106" s="157"/>
      <c r="G106" s="157"/>
      <c r="H106" s="157"/>
      <c r="I106" s="158"/>
      <c r="J106" s="159"/>
      <c r="K106" s="159"/>
      <c r="L106" s="159"/>
      <c r="M106" s="160"/>
      <c r="N106" s="160"/>
      <c r="O106" s="160"/>
      <c r="P106" s="158"/>
      <c r="Q106" s="158"/>
      <c r="R106" s="158"/>
      <c r="S106" s="158"/>
      <c r="T106" s="158"/>
      <c r="U106" s="158"/>
      <c r="V106" s="159"/>
      <c r="W106" s="159"/>
      <c r="X106" s="159"/>
      <c r="Y106" s="158"/>
      <c r="Z106" s="159"/>
      <c r="AA106" s="160"/>
      <c r="AB106" s="160"/>
      <c r="AC106" s="160"/>
      <c r="AD106" s="160"/>
      <c r="AE106" s="160"/>
      <c r="AF106" s="159"/>
      <c r="AG106" s="159"/>
      <c r="AH106" s="159"/>
      <c r="AI106" s="159"/>
      <c r="AJ106" s="159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  <c r="BH106" s="167"/>
      <c r="BI106" s="167"/>
      <c r="BJ106" s="167"/>
      <c r="BK106" s="167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59"/>
      <c r="BX106" s="159"/>
      <c r="BY106" s="159"/>
      <c r="BZ106" s="159"/>
      <c r="CA106" s="159"/>
      <c r="CB106" s="159"/>
      <c r="CC106" s="159"/>
      <c r="CD106" s="159"/>
      <c r="CE106" s="159"/>
      <c r="CF106" s="159"/>
      <c r="CG106" s="159"/>
      <c r="CH106" s="159"/>
      <c r="CI106" s="159"/>
      <c r="CJ106" s="159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59"/>
      <c r="CW106" s="159"/>
      <c r="CX106" s="159"/>
      <c r="CY106" s="134"/>
    </row>
    <row r="107" spans="1:103" ht="12.75" customHeight="1" x14ac:dyDescent="0.3">
      <c r="A107" s="155"/>
      <c r="B107" s="134"/>
      <c r="C107" s="134"/>
      <c r="D107" s="134"/>
      <c r="E107" s="157"/>
      <c r="F107" s="157"/>
      <c r="G107" s="157"/>
      <c r="H107" s="157"/>
      <c r="I107" s="158"/>
      <c r="J107" s="159"/>
      <c r="K107" s="159"/>
      <c r="L107" s="159"/>
      <c r="M107" s="160"/>
      <c r="N107" s="160"/>
      <c r="O107" s="160"/>
      <c r="P107" s="158"/>
      <c r="Q107" s="158"/>
      <c r="R107" s="158"/>
      <c r="S107" s="158"/>
      <c r="T107" s="158"/>
      <c r="U107" s="158"/>
      <c r="V107" s="159"/>
      <c r="W107" s="159"/>
      <c r="X107" s="159"/>
      <c r="Y107" s="158"/>
      <c r="Z107" s="159"/>
      <c r="AA107" s="160"/>
      <c r="AB107" s="160"/>
      <c r="AC107" s="160"/>
      <c r="AD107" s="160"/>
      <c r="AE107" s="160"/>
      <c r="AF107" s="159"/>
      <c r="AG107" s="159"/>
      <c r="AH107" s="159"/>
      <c r="AI107" s="159"/>
      <c r="AJ107" s="159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  <c r="BH107" s="167"/>
      <c r="BI107" s="167"/>
      <c r="BJ107" s="167"/>
      <c r="BK107" s="167"/>
      <c r="BL107" s="167"/>
      <c r="BM107" s="167"/>
      <c r="BN107" s="167"/>
      <c r="BO107" s="167"/>
      <c r="BP107" s="167"/>
      <c r="BQ107" s="167"/>
      <c r="BR107" s="167"/>
      <c r="BS107" s="167"/>
      <c r="BT107" s="167"/>
      <c r="BU107" s="167"/>
      <c r="BV107" s="167"/>
      <c r="BW107" s="159"/>
      <c r="BX107" s="159"/>
      <c r="BY107" s="159"/>
      <c r="BZ107" s="159"/>
      <c r="CA107" s="159"/>
      <c r="CB107" s="159"/>
      <c r="CC107" s="159"/>
      <c r="CD107" s="159"/>
      <c r="CE107" s="159"/>
      <c r="CF107" s="159"/>
      <c r="CG107" s="159"/>
      <c r="CH107" s="159"/>
      <c r="CI107" s="159"/>
      <c r="CJ107" s="159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34"/>
    </row>
    <row r="108" spans="1:103" ht="12.75" customHeight="1" x14ac:dyDescent="0.3">
      <c r="A108" s="155"/>
      <c r="B108" s="134"/>
      <c r="C108" s="134"/>
      <c r="D108" s="134"/>
      <c r="E108" s="157"/>
      <c r="F108" s="157"/>
      <c r="G108" s="157"/>
      <c r="H108" s="157"/>
      <c r="I108" s="158"/>
      <c r="J108" s="159"/>
      <c r="K108" s="159"/>
      <c r="L108" s="159"/>
      <c r="M108" s="160"/>
      <c r="N108" s="160"/>
      <c r="O108" s="160"/>
      <c r="P108" s="158"/>
      <c r="Q108" s="158"/>
      <c r="R108" s="158"/>
      <c r="S108" s="158"/>
      <c r="T108" s="158"/>
      <c r="U108" s="158"/>
      <c r="V108" s="159"/>
      <c r="W108" s="159"/>
      <c r="X108" s="159"/>
      <c r="Y108" s="158"/>
      <c r="Z108" s="159"/>
      <c r="AA108" s="160"/>
      <c r="AB108" s="160"/>
      <c r="AC108" s="160"/>
      <c r="AD108" s="160"/>
      <c r="AE108" s="160"/>
      <c r="AF108" s="159"/>
      <c r="AG108" s="159"/>
      <c r="AH108" s="159"/>
      <c r="AI108" s="159"/>
      <c r="AJ108" s="159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  <c r="BS108" s="167"/>
      <c r="BT108" s="167"/>
      <c r="BU108" s="167"/>
      <c r="BV108" s="167"/>
      <c r="BW108" s="159"/>
      <c r="BX108" s="159"/>
      <c r="BY108" s="159"/>
      <c r="BZ108" s="159"/>
      <c r="CA108" s="159"/>
      <c r="CB108" s="159"/>
      <c r="CC108" s="159"/>
      <c r="CD108" s="159"/>
      <c r="CE108" s="159"/>
      <c r="CF108" s="159"/>
      <c r="CG108" s="159"/>
      <c r="CH108" s="159"/>
      <c r="CI108" s="159"/>
      <c r="CJ108" s="159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34"/>
    </row>
    <row r="109" spans="1:103" ht="12.75" customHeight="1" x14ac:dyDescent="0.3">
      <c r="A109" s="155"/>
      <c r="B109" s="134"/>
      <c r="C109" s="134"/>
      <c r="D109" s="134"/>
      <c r="E109" s="157"/>
      <c r="F109" s="157"/>
      <c r="G109" s="157"/>
      <c r="H109" s="157"/>
      <c r="I109" s="158"/>
      <c r="J109" s="159"/>
      <c r="K109" s="159"/>
      <c r="L109" s="159"/>
      <c r="M109" s="160"/>
      <c r="N109" s="160"/>
      <c r="O109" s="160"/>
      <c r="P109" s="158"/>
      <c r="Q109" s="158"/>
      <c r="R109" s="158"/>
      <c r="S109" s="158"/>
      <c r="T109" s="158"/>
      <c r="U109" s="158"/>
      <c r="V109" s="159"/>
      <c r="W109" s="159"/>
      <c r="X109" s="159"/>
      <c r="Y109" s="158"/>
      <c r="Z109" s="159"/>
      <c r="AA109" s="160"/>
      <c r="AB109" s="160"/>
      <c r="AC109" s="160"/>
      <c r="AD109" s="160"/>
      <c r="AE109" s="160"/>
      <c r="AF109" s="159"/>
      <c r="AG109" s="159"/>
      <c r="AH109" s="159"/>
      <c r="AI109" s="159"/>
      <c r="AJ109" s="159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59"/>
      <c r="BX109" s="159"/>
      <c r="BY109" s="159"/>
      <c r="BZ109" s="159"/>
      <c r="CA109" s="159"/>
      <c r="CB109" s="159"/>
      <c r="CC109" s="159"/>
      <c r="CD109" s="159"/>
      <c r="CE109" s="159"/>
      <c r="CF109" s="159"/>
      <c r="CG109" s="159"/>
      <c r="CH109" s="159"/>
      <c r="CI109" s="159"/>
      <c r="CJ109" s="159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34"/>
    </row>
    <row r="110" spans="1:103" ht="12.75" customHeight="1" x14ac:dyDescent="0.3">
      <c r="A110" s="155"/>
      <c r="B110" s="134"/>
      <c r="C110" s="134"/>
      <c r="D110" s="134"/>
      <c r="E110" s="157"/>
      <c r="F110" s="157"/>
      <c r="G110" s="157"/>
      <c r="H110" s="157"/>
      <c r="I110" s="158"/>
      <c r="J110" s="159"/>
      <c r="K110" s="159"/>
      <c r="L110" s="159"/>
      <c r="M110" s="160"/>
      <c r="N110" s="160"/>
      <c r="O110" s="160"/>
      <c r="P110" s="158"/>
      <c r="Q110" s="158"/>
      <c r="R110" s="158"/>
      <c r="S110" s="158"/>
      <c r="T110" s="158"/>
      <c r="U110" s="158"/>
      <c r="V110" s="159"/>
      <c r="W110" s="159"/>
      <c r="X110" s="159"/>
      <c r="Y110" s="158"/>
      <c r="Z110" s="159"/>
      <c r="AA110" s="160"/>
      <c r="AB110" s="160"/>
      <c r="AC110" s="160"/>
      <c r="AD110" s="160"/>
      <c r="AE110" s="160"/>
      <c r="AF110" s="159"/>
      <c r="AG110" s="159"/>
      <c r="AH110" s="159"/>
      <c r="AI110" s="159"/>
      <c r="AJ110" s="159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  <c r="BH110" s="167"/>
      <c r="BI110" s="167"/>
      <c r="BJ110" s="167"/>
      <c r="BK110" s="167"/>
      <c r="BL110" s="167"/>
      <c r="BM110" s="167"/>
      <c r="BN110" s="167"/>
      <c r="BO110" s="167"/>
      <c r="BP110" s="167"/>
      <c r="BQ110" s="167"/>
      <c r="BR110" s="167"/>
      <c r="BS110" s="167"/>
      <c r="BT110" s="167"/>
      <c r="BU110" s="167"/>
      <c r="BV110" s="167"/>
      <c r="BW110" s="159"/>
      <c r="BX110" s="159"/>
      <c r="BY110" s="159"/>
      <c r="BZ110" s="159"/>
      <c r="CA110" s="159"/>
      <c r="CB110" s="159"/>
      <c r="CC110" s="159"/>
      <c r="CD110" s="159"/>
      <c r="CE110" s="159"/>
      <c r="CF110" s="159"/>
      <c r="CG110" s="159"/>
      <c r="CH110" s="159"/>
      <c r="CI110" s="159"/>
      <c r="CJ110" s="159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34"/>
    </row>
    <row r="111" spans="1:103" ht="12.75" customHeight="1" x14ac:dyDescent="0.3">
      <c r="A111" s="155"/>
      <c r="B111" s="134"/>
      <c r="C111" s="134"/>
      <c r="D111" s="134"/>
      <c r="E111" s="157"/>
      <c r="F111" s="157"/>
      <c r="G111" s="157"/>
      <c r="H111" s="157"/>
      <c r="I111" s="158"/>
      <c r="J111" s="159"/>
      <c r="K111" s="159"/>
      <c r="L111" s="159"/>
      <c r="M111" s="160"/>
      <c r="N111" s="160"/>
      <c r="O111" s="160"/>
      <c r="P111" s="158"/>
      <c r="Q111" s="158"/>
      <c r="R111" s="158"/>
      <c r="S111" s="158"/>
      <c r="T111" s="158"/>
      <c r="U111" s="158"/>
      <c r="V111" s="159"/>
      <c r="W111" s="159"/>
      <c r="X111" s="159"/>
      <c r="Y111" s="158"/>
      <c r="Z111" s="159"/>
      <c r="AA111" s="160"/>
      <c r="AB111" s="160"/>
      <c r="AC111" s="160"/>
      <c r="AD111" s="160"/>
      <c r="AE111" s="160"/>
      <c r="AF111" s="159"/>
      <c r="AG111" s="159"/>
      <c r="AH111" s="159"/>
      <c r="AI111" s="159"/>
      <c r="AJ111" s="159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  <c r="BH111" s="167"/>
      <c r="BI111" s="167"/>
      <c r="BJ111" s="167"/>
      <c r="BK111" s="167"/>
      <c r="BL111" s="167"/>
      <c r="BM111" s="167"/>
      <c r="BN111" s="167"/>
      <c r="BO111" s="167"/>
      <c r="BP111" s="167"/>
      <c r="BQ111" s="167"/>
      <c r="BR111" s="167"/>
      <c r="BS111" s="167"/>
      <c r="BT111" s="167"/>
      <c r="BU111" s="167"/>
      <c r="BV111" s="167"/>
      <c r="BW111" s="159"/>
      <c r="BX111" s="159"/>
      <c r="BY111" s="159"/>
      <c r="BZ111" s="159"/>
      <c r="CA111" s="159"/>
      <c r="CB111" s="159"/>
      <c r="CC111" s="159"/>
      <c r="CD111" s="159"/>
      <c r="CE111" s="159"/>
      <c r="CF111" s="159"/>
      <c r="CG111" s="159"/>
      <c r="CH111" s="159"/>
      <c r="CI111" s="159"/>
      <c r="CJ111" s="159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34"/>
    </row>
    <row r="112" spans="1:103" ht="12.75" customHeight="1" x14ac:dyDescent="0.3">
      <c r="A112" s="155"/>
      <c r="B112" s="134"/>
      <c r="C112" s="134"/>
      <c r="D112" s="134"/>
      <c r="E112" s="157"/>
      <c r="F112" s="157"/>
      <c r="G112" s="157"/>
      <c r="H112" s="157"/>
      <c r="I112" s="158"/>
      <c r="J112" s="159"/>
      <c r="K112" s="159"/>
      <c r="L112" s="159"/>
      <c r="M112" s="160"/>
      <c r="N112" s="160"/>
      <c r="O112" s="160"/>
      <c r="P112" s="158"/>
      <c r="Q112" s="158"/>
      <c r="R112" s="158"/>
      <c r="S112" s="158"/>
      <c r="T112" s="158"/>
      <c r="U112" s="158"/>
      <c r="V112" s="159"/>
      <c r="W112" s="159"/>
      <c r="X112" s="159"/>
      <c r="Y112" s="158"/>
      <c r="Z112" s="159"/>
      <c r="AA112" s="160"/>
      <c r="AB112" s="160"/>
      <c r="AC112" s="160"/>
      <c r="AD112" s="160"/>
      <c r="AE112" s="160"/>
      <c r="AF112" s="159"/>
      <c r="AG112" s="159"/>
      <c r="AH112" s="159"/>
      <c r="AI112" s="159"/>
      <c r="AJ112" s="159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  <c r="BJ112" s="167"/>
      <c r="BK112" s="167"/>
      <c r="BL112" s="167"/>
      <c r="BM112" s="167"/>
      <c r="BN112" s="167"/>
      <c r="BO112" s="167"/>
      <c r="BP112" s="167"/>
      <c r="BQ112" s="167"/>
      <c r="BR112" s="167"/>
      <c r="BS112" s="167"/>
      <c r="BT112" s="167"/>
      <c r="BU112" s="167"/>
      <c r="BV112" s="167"/>
      <c r="BW112" s="159"/>
      <c r="BX112" s="159"/>
      <c r="BY112" s="159"/>
      <c r="BZ112" s="159"/>
      <c r="CA112" s="159"/>
      <c r="CB112" s="159"/>
      <c r="CC112" s="159"/>
      <c r="CD112" s="159"/>
      <c r="CE112" s="159"/>
      <c r="CF112" s="159"/>
      <c r="CG112" s="159"/>
      <c r="CH112" s="159"/>
      <c r="CI112" s="159"/>
      <c r="CJ112" s="159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59"/>
      <c r="CW112" s="159"/>
      <c r="CX112" s="159"/>
      <c r="CY112" s="134"/>
    </row>
    <row r="113" spans="1:103" ht="12.75" customHeight="1" x14ac:dyDescent="0.3">
      <c r="A113" s="155"/>
      <c r="B113" s="134"/>
      <c r="C113" s="134"/>
      <c r="D113" s="134"/>
      <c r="E113" s="157"/>
      <c r="F113" s="157"/>
      <c r="G113" s="157"/>
      <c r="H113" s="157"/>
      <c r="I113" s="158"/>
      <c r="J113" s="159"/>
      <c r="K113" s="159"/>
      <c r="L113" s="159"/>
      <c r="M113" s="160"/>
      <c r="N113" s="160"/>
      <c r="O113" s="160"/>
      <c r="P113" s="158"/>
      <c r="Q113" s="158"/>
      <c r="R113" s="158"/>
      <c r="S113" s="158"/>
      <c r="T113" s="158"/>
      <c r="U113" s="158"/>
      <c r="V113" s="159"/>
      <c r="W113" s="159"/>
      <c r="X113" s="159"/>
      <c r="Y113" s="158"/>
      <c r="Z113" s="159"/>
      <c r="AA113" s="160"/>
      <c r="AB113" s="160"/>
      <c r="AC113" s="160"/>
      <c r="AD113" s="160"/>
      <c r="AE113" s="160"/>
      <c r="AF113" s="159"/>
      <c r="AG113" s="159"/>
      <c r="AH113" s="159"/>
      <c r="AI113" s="159"/>
      <c r="AJ113" s="159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  <c r="BH113" s="167"/>
      <c r="BI113" s="167"/>
      <c r="BJ113" s="167"/>
      <c r="BK113" s="167"/>
      <c r="BL113" s="167"/>
      <c r="BM113" s="167"/>
      <c r="BN113" s="167"/>
      <c r="BO113" s="167"/>
      <c r="BP113" s="167"/>
      <c r="BQ113" s="167"/>
      <c r="BR113" s="167"/>
      <c r="BS113" s="167"/>
      <c r="BT113" s="167"/>
      <c r="BU113" s="167"/>
      <c r="BV113" s="167"/>
      <c r="BW113" s="159"/>
      <c r="BX113" s="159"/>
      <c r="BY113" s="159"/>
      <c r="BZ113" s="159"/>
      <c r="CA113" s="159"/>
      <c r="CB113" s="159"/>
      <c r="CC113" s="159"/>
      <c r="CD113" s="159"/>
      <c r="CE113" s="159"/>
      <c r="CF113" s="159"/>
      <c r="CG113" s="159"/>
      <c r="CH113" s="159"/>
      <c r="CI113" s="159"/>
      <c r="CJ113" s="159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59"/>
      <c r="CW113" s="159"/>
      <c r="CX113" s="159"/>
      <c r="CY113" s="134"/>
    </row>
    <row r="114" spans="1:103" ht="12.75" customHeight="1" x14ac:dyDescent="0.3">
      <c r="A114" s="155"/>
      <c r="B114" s="134"/>
      <c r="C114" s="134"/>
      <c r="D114" s="134"/>
      <c r="E114" s="157"/>
      <c r="F114" s="157"/>
      <c r="G114" s="157"/>
      <c r="H114" s="157"/>
      <c r="I114" s="158"/>
      <c r="J114" s="159"/>
      <c r="K114" s="159"/>
      <c r="L114" s="159"/>
      <c r="M114" s="160"/>
      <c r="N114" s="160"/>
      <c r="O114" s="160"/>
      <c r="P114" s="158"/>
      <c r="Q114" s="158"/>
      <c r="R114" s="158"/>
      <c r="S114" s="158"/>
      <c r="T114" s="158"/>
      <c r="U114" s="158"/>
      <c r="V114" s="159"/>
      <c r="W114" s="159"/>
      <c r="X114" s="159"/>
      <c r="Y114" s="158"/>
      <c r="Z114" s="159"/>
      <c r="AA114" s="160"/>
      <c r="AB114" s="160"/>
      <c r="AC114" s="160"/>
      <c r="AD114" s="160"/>
      <c r="AE114" s="160"/>
      <c r="AF114" s="159"/>
      <c r="AG114" s="159"/>
      <c r="AH114" s="159"/>
      <c r="AI114" s="159"/>
      <c r="AJ114" s="159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  <c r="BH114" s="167"/>
      <c r="BI114" s="167"/>
      <c r="BJ114" s="167"/>
      <c r="BK114" s="167"/>
      <c r="BL114" s="167"/>
      <c r="BM114" s="167"/>
      <c r="BN114" s="167"/>
      <c r="BO114" s="167"/>
      <c r="BP114" s="167"/>
      <c r="BQ114" s="167"/>
      <c r="BR114" s="167"/>
      <c r="BS114" s="167"/>
      <c r="BT114" s="167"/>
      <c r="BU114" s="167"/>
      <c r="BV114" s="167"/>
      <c r="BW114" s="159"/>
      <c r="BX114" s="159"/>
      <c r="BY114" s="159"/>
      <c r="BZ114" s="159"/>
      <c r="CA114" s="159"/>
      <c r="CB114" s="159"/>
      <c r="CC114" s="159"/>
      <c r="CD114" s="159"/>
      <c r="CE114" s="159"/>
      <c r="CF114" s="159"/>
      <c r="CG114" s="159"/>
      <c r="CH114" s="159"/>
      <c r="CI114" s="159"/>
      <c r="CJ114" s="159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59"/>
      <c r="CW114" s="159"/>
      <c r="CX114" s="159"/>
      <c r="CY114" s="134"/>
    </row>
    <row r="115" spans="1:103" ht="12.75" customHeight="1" x14ac:dyDescent="0.3">
      <c r="A115" s="155"/>
      <c r="B115" s="134"/>
      <c r="C115" s="134"/>
      <c r="D115" s="134"/>
      <c r="E115" s="157"/>
      <c r="F115" s="157"/>
      <c r="G115" s="157"/>
      <c r="H115" s="157"/>
      <c r="I115" s="158"/>
      <c r="J115" s="159"/>
      <c r="K115" s="159"/>
      <c r="L115" s="159"/>
      <c r="M115" s="160"/>
      <c r="N115" s="160"/>
      <c r="O115" s="160"/>
      <c r="P115" s="158"/>
      <c r="Q115" s="158"/>
      <c r="R115" s="158"/>
      <c r="S115" s="158"/>
      <c r="T115" s="158"/>
      <c r="U115" s="158"/>
      <c r="V115" s="159"/>
      <c r="W115" s="159"/>
      <c r="X115" s="159"/>
      <c r="Y115" s="158"/>
      <c r="Z115" s="159"/>
      <c r="AA115" s="160"/>
      <c r="AB115" s="160"/>
      <c r="AC115" s="160"/>
      <c r="AD115" s="160"/>
      <c r="AE115" s="160"/>
      <c r="AF115" s="159"/>
      <c r="AG115" s="159"/>
      <c r="AH115" s="159"/>
      <c r="AI115" s="159"/>
      <c r="AJ115" s="159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7"/>
      <c r="BP115" s="167"/>
      <c r="BQ115" s="167"/>
      <c r="BR115" s="167"/>
      <c r="BS115" s="167"/>
      <c r="BT115" s="167"/>
      <c r="BU115" s="167"/>
      <c r="BV115" s="167"/>
      <c r="BW115" s="159"/>
      <c r="BX115" s="159"/>
      <c r="BY115" s="159"/>
      <c r="BZ115" s="159"/>
      <c r="CA115" s="159"/>
      <c r="CB115" s="159"/>
      <c r="CC115" s="159"/>
      <c r="CD115" s="159"/>
      <c r="CE115" s="159"/>
      <c r="CF115" s="159"/>
      <c r="CG115" s="159"/>
      <c r="CH115" s="159"/>
      <c r="CI115" s="159"/>
      <c r="CJ115" s="159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59"/>
      <c r="CW115" s="159"/>
      <c r="CX115" s="159"/>
      <c r="CY115" s="134"/>
    </row>
    <row r="116" spans="1:103" ht="12.75" customHeight="1" x14ac:dyDescent="0.3">
      <c r="A116" s="155"/>
      <c r="B116" s="134"/>
      <c r="C116" s="134"/>
      <c r="D116" s="134"/>
      <c r="E116" s="157"/>
      <c r="F116" s="157"/>
      <c r="G116" s="157"/>
      <c r="H116" s="157"/>
      <c r="I116" s="158"/>
      <c r="J116" s="159"/>
      <c r="K116" s="159"/>
      <c r="L116" s="159"/>
      <c r="M116" s="160"/>
      <c r="N116" s="160"/>
      <c r="O116" s="160"/>
      <c r="P116" s="158"/>
      <c r="Q116" s="158"/>
      <c r="R116" s="158"/>
      <c r="S116" s="158"/>
      <c r="T116" s="158"/>
      <c r="U116" s="158"/>
      <c r="V116" s="159"/>
      <c r="W116" s="159"/>
      <c r="X116" s="159"/>
      <c r="Y116" s="158"/>
      <c r="Z116" s="159"/>
      <c r="AA116" s="160"/>
      <c r="AB116" s="160"/>
      <c r="AC116" s="160"/>
      <c r="AD116" s="160"/>
      <c r="AE116" s="160"/>
      <c r="AF116" s="159"/>
      <c r="AG116" s="159"/>
      <c r="AH116" s="159"/>
      <c r="AI116" s="159"/>
      <c r="AJ116" s="159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59"/>
      <c r="BX116" s="159"/>
      <c r="BY116" s="159"/>
      <c r="BZ116" s="159"/>
      <c r="CA116" s="159"/>
      <c r="CB116" s="159"/>
      <c r="CC116" s="159"/>
      <c r="CD116" s="159"/>
      <c r="CE116" s="159"/>
      <c r="CF116" s="159"/>
      <c r="CG116" s="159"/>
      <c r="CH116" s="159"/>
      <c r="CI116" s="159"/>
      <c r="CJ116" s="159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59"/>
      <c r="CW116" s="159"/>
      <c r="CX116" s="159"/>
      <c r="CY116" s="134"/>
    </row>
    <row r="117" spans="1:103" ht="12.75" customHeight="1" x14ac:dyDescent="0.3">
      <c r="A117" s="155"/>
      <c r="B117" s="134"/>
      <c r="C117" s="134"/>
      <c r="D117" s="134"/>
      <c r="E117" s="157"/>
      <c r="F117" s="157"/>
      <c r="G117" s="157"/>
      <c r="H117" s="157"/>
      <c r="I117" s="158"/>
      <c r="J117" s="159"/>
      <c r="K117" s="159"/>
      <c r="L117" s="159"/>
      <c r="M117" s="160"/>
      <c r="N117" s="160"/>
      <c r="O117" s="160"/>
      <c r="P117" s="158"/>
      <c r="Q117" s="158"/>
      <c r="R117" s="158"/>
      <c r="S117" s="158"/>
      <c r="T117" s="158"/>
      <c r="U117" s="158"/>
      <c r="V117" s="159"/>
      <c r="W117" s="159"/>
      <c r="X117" s="159"/>
      <c r="Y117" s="158"/>
      <c r="Z117" s="159"/>
      <c r="AA117" s="160"/>
      <c r="AB117" s="160"/>
      <c r="AC117" s="160"/>
      <c r="AD117" s="160"/>
      <c r="AE117" s="160"/>
      <c r="AF117" s="159"/>
      <c r="AG117" s="159"/>
      <c r="AH117" s="159"/>
      <c r="AI117" s="159"/>
      <c r="AJ117" s="159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59"/>
      <c r="BX117" s="159"/>
      <c r="BY117" s="159"/>
      <c r="BZ117" s="159"/>
      <c r="CA117" s="159"/>
      <c r="CB117" s="159"/>
      <c r="CC117" s="159"/>
      <c r="CD117" s="159"/>
      <c r="CE117" s="159"/>
      <c r="CF117" s="159"/>
      <c r="CG117" s="159"/>
      <c r="CH117" s="159"/>
      <c r="CI117" s="159"/>
      <c r="CJ117" s="159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59"/>
      <c r="CW117" s="159"/>
      <c r="CX117" s="159"/>
      <c r="CY117" s="134"/>
    </row>
    <row r="118" spans="1:103" ht="12.75" customHeight="1" x14ac:dyDescent="0.3">
      <c r="A118" s="155"/>
      <c r="B118" s="134"/>
      <c r="C118" s="134"/>
      <c r="D118" s="134"/>
      <c r="E118" s="157"/>
      <c r="F118" s="157"/>
      <c r="G118" s="157"/>
      <c r="H118" s="157"/>
      <c r="I118" s="158"/>
      <c r="J118" s="159"/>
      <c r="K118" s="159"/>
      <c r="L118" s="159"/>
      <c r="M118" s="160"/>
      <c r="N118" s="160"/>
      <c r="O118" s="160"/>
      <c r="P118" s="158"/>
      <c r="Q118" s="158"/>
      <c r="R118" s="158"/>
      <c r="S118" s="158"/>
      <c r="T118" s="158"/>
      <c r="U118" s="158"/>
      <c r="V118" s="159"/>
      <c r="W118" s="159"/>
      <c r="X118" s="159"/>
      <c r="Y118" s="158"/>
      <c r="Z118" s="159"/>
      <c r="AA118" s="160"/>
      <c r="AB118" s="160"/>
      <c r="AC118" s="160"/>
      <c r="AD118" s="160"/>
      <c r="AE118" s="160"/>
      <c r="AF118" s="159"/>
      <c r="AG118" s="159"/>
      <c r="AH118" s="159"/>
      <c r="AI118" s="159"/>
      <c r="AJ118" s="159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167"/>
      <c r="BV118" s="167"/>
      <c r="BW118" s="159"/>
      <c r="BX118" s="159"/>
      <c r="BY118" s="159"/>
      <c r="BZ118" s="159"/>
      <c r="CA118" s="159"/>
      <c r="CB118" s="159"/>
      <c r="CC118" s="159"/>
      <c r="CD118" s="159"/>
      <c r="CE118" s="159"/>
      <c r="CF118" s="159"/>
      <c r="CG118" s="159"/>
      <c r="CH118" s="159"/>
      <c r="CI118" s="159"/>
      <c r="CJ118" s="159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59"/>
      <c r="CW118" s="159"/>
      <c r="CX118" s="159"/>
      <c r="CY118" s="134"/>
    </row>
    <row r="119" spans="1:103" ht="12.75" customHeight="1" x14ac:dyDescent="0.3">
      <c r="A119" s="155"/>
      <c r="B119" s="134"/>
      <c r="C119" s="134"/>
      <c r="D119" s="134"/>
      <c r="E119" s="157"/>
      <c r="F119" s="157"/>
      <c r="G119" s="157"/>
      <c r="H119" s="157"/>
      <c r="I119" s="158"/>
      <c r="J119" s="159"/>
      <c r="K119" s="159"/>
      <c r="L119" s="159"/>
      <c r="M119" s="160"/>
      <c r="N119" s="160"/>
      <c r="O119" s="160"/>
      <c r="P119" s="158"/>
      <c r="Q119" s="158"/>
      <c r="R119" s="158"/>
      <c r="S119" s="158"/>
      <c r="T119" s="158"/>
      <c r="U119" s="158"/>
      <c r="V119" s="159"/>
      <c r="W119" s="159"/>
      <c r="X119" s="159"/>
      <c r="Y119" s="158"/>
      <c r="Z119" s="159"/>
      <c r="AA119" s="160"/>
      <c r="AB119" s="160"/>
      <c r="AC119" s="160"/>
      <c r="AD119" s="160"/>
      <c r="AE119" s="160"/>
      <c r="AF119" s="159"/>
      <c r="AG119" s="159"/>
      <c r="AH119" s="159"/>
      <c r="AI119" s="159"/>
      <c r="AJ119" s="159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167"/>
      <c r="BV119" s="167"/>
      <c r="BW119" s="159"/>
      <c r="BX119" s="159"/>
      <c r="BY119" s="159"/>
      <c r="BZ119" s="159"/>
      <c r="CA119" s="159"/>
      <c r="CB119" s="159"/>
      <c r="CC119" s="159"/>
      <c r="CD119" s="159"/>
      <c r="CE119" s="159"/>
      <c r="CF119" s="159"/>
      <c r="CG119" s="159"/>
      <c r="CH119" s="159"/>
      <c r="CI119" s="159"/>
      <c r="CJ119" s="159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59"/>
      <c r="CW119" s="159"/>
      <c r="CX119" s="159"/>
      <c r="CY119" s="134"/>
    </row>
    <row r="120" spans="1:103" ht="12.75" customHeight="1" x14ac:dyDescent="0.3">
      <c r="A120" s="155"/>
      <c r="B120" s="134"/>
      <c r="C120" s="134"/>
      <c r="D120" s="134"/>
      <c r="E120" s="157"/>
      <c r="F120" s="157"/>
      <c r="G120" s="157"/>
      <c r="H120" s="157"/>
      <c r="I120" s="158"/>
      <c r="J120" s="159"/>
      <c r="K120" s="159"/>
      <c r="L120" s="159"/>
      <c r="M120" s="160"/>
      <c r="N120" s="160"/>
      <c r="O120" s="160"/>
      <c r="P120" s="158"/>
      <c r="Q120" s="158"/>
      <c r="R120" s="158"/>
      <c r="S120" s="158"/>
      <c r="T120" s="158"/>
      <c r="U120" s="158"/>
      <c r="V120" s="159"/>
      <c r="W120" s="159"/>
      <c r="X120" s="159"/>
      <c r="Y120" s="158"/>
      <c r="Z120" s="159"/>
      <c r="AA120" s="160"/>
      <c r="AB120" s="160"/>
      <c r="AC120" s="160"/>
      <c r="AD120" s="160"/>
      <c r="AE120" s="160"/>
      <c r="AF120" s="159"/>
      <c r="AG120" s="159"/>
      <c r="AH120" s="159"/>
      <c r="AI120" s="159"/>
      <c r="AJ120" s="159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167"/>
      <c r="BV120" s="167"/>
      <c r="BW120" s="159"/>
      <c r="BX120" s="159"/>
      <c r="BY120" s="159"/>
      <c r="BZ120" s="159"/>
      <c r="CA120" s="159"/>
      <c r="CB120" s="159"/>
      <c r="CC120" s="159"/>
      <c r="CD120" s="159"/>
      <c r="CE120" s="159"/>
      <c r="CF120" s="159"/>
      <c r="CG120" s="159"/>
      <c r="CH120" s="159"/>
      <c r="CI120" s="159"/>
      <c r="CJ120" s="159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59"/>
      <c r="CW120" s="159"/>
      <c r="CX120" s="159"/>
      <c r="CY120" s="134"/>
    </row>
    <row r="121" spans="1:103" ht="12.75" customHeight="1" x14ac:dyDescent="0.3">
      <c r="A121" s="155"/>
      <c r="B121" s="134"/>
      <c r="C121" s="134"/>
      <c r="D121" s="134"/>
      <c r="E121" s="157"/>
      <c r="F121" s="157"/>
      <c r="G121" s="157"/>
      <c r="H121" s="157"/>
      <c r="I121" s="158"/>
      <c r="J121" s="159"/>
      <c r="K121" s="159"/>
      <c r="L121" s="159"/>
      <c r="M121" s="160"/>
      <c r="N121" s="160"/>
      <c r="O121" s="160"/>
      <c r="P121" s="158"/>
      <c r="Q121" s="158"/>
      <c r="R121" s="158"/>
      <c r="S121" s="158"/>
      <c r="T121" s="158"/>
      <c r="U121" s="158"/>
      <c r="V121" s="159"/>
      <c r="W121" s="159"/>
      <c r="X121" s="159"/>
      <c r="Y121" s="158"/>
      <c r="Z121" s="159"/>
      <c r="AA121" s="160"/>
      <c r="AB121" s="160"/>
      <c r="AC121" s="160"/>
      <c r="AD121" s="160"/>
      <c r="AE121" s="160"/>
      <c r="AF121" s="159"/>
      <c r="AG121" s="159"/>
      <c r="AH121" s="159"/>
      <c r="AI121" s="159"/>
      <c r="AJ121" s="159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167"/>
      <c r="BV121" s="167"/>
      <c r="BW121" s="159"/>
      <c r="BX121" s="159"/>
      <c r="BY121" s="159"/>
      <c r="BZ121" s="159"/>
      <c r="CA121" s="159"/>
      <c r="CB121" s="159"/>
      <c r="CC121" s="159"/>
      <c r="CD121" s="159"/>
      <c r="CE121" s="159"/>
      <c r="CF121" s="159"/>
      <c r="CG121" s="159"/>
      <c r="CH121" s="159"/>
      <c r="CI121" s="159"/>
      <c r="CJ121" s="159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59"/>
      <c r="CW121" s="159"/>
      <c r="CX121" s="159"/>
      <c r="CY121" s="134"/>
    </row>
    <row r="122" spans="1:103" ht="12.75" customHeight="1" x14ac:dyDescent="0.3">
      <c r="A122" s="155"/>
      <c r="B122" s="134"/>
      <c r="C122" s="134"/>
      <c r="D122" s="134"/>
      <c r="E122" s="157"/>
      <c r="F122" s="157"/>
      <c r="G122" s="157"/>
      <c r="H122" s="157"/>
      <c r="I122" s="158"/>
      <c r="J122" s="159"/>
      <c r="K122" s="159"/>
      <c r="L122" s="159"/>
      <c r="M122" s="160"/>
      <c r="N122" s="160"/>
      <c r="O122" s="160"/>
      <c r="P122" s="158"/>
      <c r="Q122" s="158"/>
      <c r="R122" s="158"/>
      <c r="S122" s="158"/>
      <c r="T122" s="158"/>
      <c r="U122" s="158"/>
      <c r="V122" s="159"/>
      <c r="W122" s="159"/>
      <c r="X122" s="159"/>
      <c r="Y122" s="158"/>
      <c r="Z122" s="159"/>
      <c r="AA122" s="160"/>
      <c r="AB122" s="160"/>
      <c r="AC122" s="160"/>
      <c r="AD122" s="160"/>
      <c r="AE122" s="160"/>
      <c r="AF122" s="159"/>
      <c r="AG122" s="159"/>
      <c r="AH122" s="159"/>
      <c r="AI122" s="159"/>
      <c r="AJ122" s="159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59"/>
      <c r="BX122" s="159"/>
      <c r="BY122" s="159"/>
      <c r="BZ122" s="159"/>
      <c r="CA122" s="159"/>
      <c r="CB122" s="159"/>
      <c r="CC122" s="159"/>
      <c r="CD122" s="159"/>
      <c r="CE122" s="159"/>
      <c r="CF122" s="159"/>
      <c r="CG122" s="159"/>
      <c r="CH122" s="159"/>
      <c r="CI122" s="159"/>
      <c r="CJ122" s="159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59"/>
      <c r="CW122" s="159"/>
      <c r="CX122" s="159"/>
      <c r="CY122" s="134"/>
    </row>
    <row r="123" spans="1:103" ht="12.75" customHeight="1" x14ac:dyDescent="0.3">
      <c r="A123" s="155"/>
      <c r="B123" s="134"/>
      <c r="C123" s="134"/>
      <c r="D123" s="134"/>
      <c r="E123" s="157"/>
      <c r="F123" s="157"/>
      <c r="G123" s="157"/>
      <c r="H123" s="157"/>
      <c r="I123" s="158"/>
      <c r="J123" s="159"/>
      <c r="K123" s="159"/>
      <c r="L123" s="159"/>
      <c r="M123" s="160"/>
      <c r="N123" s="160"/>
      <c r="O123" s="160"/>
      <c r="P123" s="158"/>
      <c r="Q123" s="158"/>
      <c r="R123" s="158"/>
      <c r="S123" s="158"/>
      <c r="T123" s="158"/>
      <c r="U123" s="158"/>
      <c r="V123" s="159"/>
      <c r="W123" s="159"/>
      <c r="X123" s="159"/>
      <c r="Y123" s="158"/>
      <c r="Z123" s="159"/>
      <c r="AA123" s="160"/>
      <c r="AB123" s="160"/>
      <c r="AC123" s="160"/>
      <c r="AD123" s="160"/>
      <c r="AE123" s="160"/>
      <c r="AF123" s="159"/>
      <c r="AG123" s="159"/>
      <c r="AH123" s="159"/>
      <c r="AI123" s="159"/>
      <c r="AJ123" s="159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  <c r="BH123" s="167"/>
      <c r="BI123" s="167"/>
      <c r="BJ123" s="167"/>
      <c r="BK123" s="167"/>
      <c r="BL123" s="167"/>
      <c r="BM123" s="167"/>
      <c r="BN123" s="167"/>
      <c r="BO123" s="167"/>
      <c r="BP123" s="167"/>
      <c r="BQ123" s="167"/>
      <c r="BR123" s="167"/>
      <c r="BS123" s="167"/>
      <c r="BT123" s="167"/>
      <c r="BU123" s="167"/>
      <c r="BV123" s="167"/>
      <c r="BW123" s="159"/>
      <c r="BX123" s="159"/>
      <c r="BY123" s="159"/>
      <c r="BZ123" s="159"/>
      <c r="CA123" s="159"/>
      <c r="CB123" s="159"/>
      <c r="CC123" s="159"/>
      <c r="CD123" s="159"/>
      <c r="CE123" s="159"/>
      <c r="CF123" s="159"/>
      <c r="CG123" s="159"/>
      <c r="CH123" s="159"/>
      <c r="CI123" s="159"/>
      <c r="CJ123" s="159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59"/>
      <c r="CW123" s="159"/>
      <c r="CX123" s="159"/>
      <c r="CY123" s="134"/>
    </row>
    <row r="124" spans="1:103" ht="12.75" customHeight="1" x14ac:dyDescent="0.3">
      <c r="A124" s="155"/>
      <c r="B124" s="134"/>
      <c r="C124" s="134"/>
      <c r="D124" s="134"/>
      <c r="E124" s="157"/>
      <c r="F124" s="157"/>
      <c r="G124" s="157"/>
      <c r="H124" s="157"/>
      <c r="I124" s="158"/>
      <c r="J124" s="159"/>
      <c r="K124" s="159"/>
      <c r="L124" s="159"/>
      <c r="M124" s="160"/>
      <c r="N124" s="160"/>
      <c r="O124" s="160"/>
      <c r="P124" s="158"/>
      <c r="Q124" s="158"/>
      <c r="R124" s="158"/>
      <c r="S124" s="158"/>
      <c r="T124" s="158"/>
      <c r="U124" s="158"/>
      <c r="V124" s="159"/>
      <c r="W124" s="159"/>
      <c r="X124" s="159"/>
      <c r="Y124" s="158"/>
      <c r="Z124" s="159"/>
      <c r="AA124" s="160"/>
      <c r="AB124" s="160"/>
      <c r="AC124" s="160"/>
      <c r="AD124" s="160"/>
      <c r="AE124" s="160"/>
      <c r="AF124" s="159"/>
      <c r="AG124" s="159"/>
      <c r="AH124" s="159"/>
      <c r="AI124" s="159"/>
      <c r="AJ124" s="159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  <c r="BH124" s="167"/>
      <c r="BI124" s="167"/>
      <c r="BJ124" s="167"/>
      <c r="BK124" s="167"/>
      <c r="BL124" s="167"/>
      <c r="BM124" s="167"/>
      <c r="BN124" s="167"/>
      <c r="BO124" s="167"/>
      <c r="BP124" s="167"/>
      <c r="BQ124" s="167"/>
      <c r="BR124" s="167"/>
      <c r="BS124" s="167"/>
      <c r="BT124" s="167"/>
      <c r="BU124" s="167"/>
      <c r="BV124" s="167"/>
      <c r="BW124" s="159"/>
      <c r="BX124" s="159"/>
      <c r="BY124" s="159"/>
      <c r="BZ124" s="159"/>
      <c r="CA124" s="159"/>
      <c r="CB124" s="159"/>
      <c r="CC124" s="159"/>
      <c r="CD124" s="159"/>
      <c r="CE124" s="159"/>
      <c r="CF124" s="159"/>
      <c r="CG124" s="159"/>
      <c r="CH124" s="159"/>
      <c r="CI124" s="159"/>
      <c r="CJ124" s="159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59"/>
      <c r="CW124" s="159"/>
      <c r="CX124" s="159"/>
      <c r="CY124" s="134"/>
    </row>
    <row r="125" spans="1:103" ht="12.75" customHeight="1" x14ac:dyDescent="0.3">
      <c r="A125" s="155"/>
      <c r="B125" s="134"/>
      <c r="C125" s="134"/>
      <c r="D125" s="134"/>
      <c r="E125" s="157"/>
      <c r="F125" s="157"/>
      <c r="G125" s="157"/>
      <c r="H125" s="157"/>
      <c r="I125" s="158"/>
      <c r="J125" s="159"/>
      <c r="K125" s="159"/>
      <c r="L125" s="159"/>
      <c r="M125" s="160"/>
      <c r="N125" s="160"/>
      <c r="O125" s="160"/>
      <c r="P125" s="158"/>
      <c r="Q125" s="158"/>
      <c r="R125" s="158"/>
      <c r="S125" s="158"/>
      <c r="T125" s="158"/>
      <c r="U125" s="158"/>
      <c r="V125" s="159"/>
      <c r="W125" s="159"/>
      <c r="X125" s="159"/>
      <c r="Y125" s="158"/>
      <c r="Z125" s="159"/>
      <c r="AA125" s="160"/>
      <c r="AB125" s="160"/>
      <c r="AC125" s="160"/>
      <c r="AD125" s="160"/>
      <c r="AE125" s="160"/>
      <c r="AF125" s="159"/>
      <c r="AG125" s="159"/>
      <c r="AH125" s="159"/>
      <c r="AI125" s="159"/>
      <c r="AJ125" s="159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7"/>
      <c r="BI125" s="167"/>
      <c r="BJ125" s="167"/>
      <c r="BK125" s="167"/>
      <c r="BL125" s="167"/>
      <c r="BM125" s="167"/>
      <c r="BN125" s="167"/>
      <c r="BO125" s="167"/>
      <c r="BP125" s="167"/>
      <c r="BQ125" s="167"/>
      <c r="BR125" s="167"/>
      <c r="BS125" s="167"/>
      <c r="BT125" s="167"/>
      <c r="BU125" s="167"/>
      <c r="BV125" s="167"/>
      <c r="BW125" s="159"/>
      <c r="BX125" s="159"/>
      <c r="BY125" s="159"/>
      <c r="BZ125" s="159"/>
      <c r="CA125" s="159"/>
      <c r="CB125" s="159"/>
      <c r="CC125" s="159"/>
      <c r="CD125" s="159"/>
      <c r="CE125" s="159"/>
      <c r="CF125" s="159"/>
      <c r="CG125" s="159"/>
      <c r="CH125" s="159"/>
      <c r="CI125" s="159"/>
      <c r="CJ125" s="159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59"/>
      <c r="CW125" s="159"/>
      <c r="CX125" s="159"/>
      <c r="CY125" s="134"/>
    </row>
    <row r="126" spans="1:103" ht="12.75" customHeight="1" x14ac:dyDescent="0.3">
      <c r="A126" s="155"/>
      <c r="B126" s="134"/>
      <c r="C126" s="134"/>
      <c r="D126" s="134"/>
      <c r="E126" s="157"/>
      <c r="F126" s="157"/>
      <c r="G126" s="157"/>
      <c r="H126" s="157"/>
      <c r="I126" s="158"/>
      <c r="J126" s="159"/>
      <c r="K126" s="159"/>
      <c r="L126" s="159"/>
      <c r="M126" s="160"/>
      <c r="N126" s="160"/>
      <c r="O126" s="160"/>
      <c r="P126" s="158"/>
      <c r="Q126" s="158"/>
      <c r="R126" s="158"/>
      <c r="S126" s="158"/>
      <c r="T126" s="158"/>
      <c r="U126" s="158"/>
      <c r="V126" s="159"/>
      <c r="W126" s="159"/>
      <c r="X126" s="159"/>
      <c r="Y126" s="158"/>
      <c r="Z126" s="159"/>
      <c r="AA126" s="160"/>
      <c r="AB126" s="160"/>
      <c r="AC126" s="160"/>
      <c r="AD126" s="160"/>
      <c r="AE126" s="160"/>
      <c r="AF126" s="159"/>
      <c r="AG126" s="159"/>
      <c r="AH126" s="159"/>
      <c r="AI126" s="159"/>
      <c r="AJ126" s="159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67"/>
      <c r="AU126" s="167"/>
      <c r="AV126" s="167"/>
      <c r="AW126" s="167"/>
      <c r="AX126" s="167"/>
      <c r="AY126" s="167"/>
      <c r="AZ126" s="167"/>
      <c r="BA126" s="167"/>
      <c r="BB126" s="167"/>
      <c r="BC126" s="167"/>
      <c r="BD126" s="167"/>
      <c r="BE126" s="167"/>
      <c r="BF126" s="167"/>
      <c r="BG126" s="167"/>
      <c r="BH126" s="167"/>
      <c r="BI126" s="167"/>
      <c r="BJ126" s="167"/>
      <c r="BK126" s="167"/>
      <c r="BL126" s="167"/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59"/>
      <c r="BX126" s="159"/>
      <c r="BY126" s="159"/>
      <c r="BZ126" s="159"/>
      <c r="CA126" s="159"/>
      <c r="CB126" s="159"/>
      <c r="CC126" s="159"/>
      <c r="CD126" s="159"/>
      <c r="CE126" s="159"/>
      <c r="CF126" s="159"/>
      <c r="CG126" s="159"/>
      <c r="CH126" s="159"/>
      <c r="CI126" s="159"/>
      <c r="CJ126" s="159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59"/>
      <c r="CW126" s="159"/>
      <c r="CX126" s="159"/>
      <c r="CY126" s="134"/>
    </row>
    <row r="127" spans="1:103" ht="12.75" customHeight="1" x14ac:dyDescent="0.3">
      <c r="A127" s="155"/>
      <c r="B127" s="134"/>
      <c r="C127" s="134"/>
      <c r="D127" s="134"/>
      <c r="E127" s="157"/>
      <c r="F127" s="157"/>
      <c r="G127" s="157"/>
      <c r="H127" s="157"/>
      <c r="I127" s="158"/>
      <c r="J127" s="159"/>
      <c r="K127" s="159"/>
      <c r="L127" s="159"/>
      <c r="M127" s="160"/>
      <c r="N127" s="160"/>
      <c r="O127" s="160"/>
      <c r="P127" s="158"/>
      <c r="Q127" s="158"/>
      <c r="R127" s="158"/>
      <c r="S127" s="158"/>
      <c r="T127" s="158"/>
      <c r="U127" s="158"/>
      <c r="V127" s="159"/>
      <c r="W127" s="159"/>
      <c r="X127" s="159"/>
      <c r="Y127" s="158"/>
      <c r="Z127" s="159"/>
      <c r="AA127" s="160"/>
      <c r="AB127" s="160"/>
      <c r="AC127" s="160"/>
      <c r="AD127" s="160"/>
      <c r="AE127" s="160"/>
      <c r="AF127" s="159"/>
      <c r="AG127" s="159"/>
      <c r="AH127" s="159"/>
      <c r="AI127" s="159"/>
      <c r="AJ127" s="159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67"/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7"/>
      <c r="BF127" s="167"/>
      <c r="BG127" s="167"/>
      <c r="BH127" s="167"/>
      <c r="BI127" s="167"/>
      <c r="BJ127" s="167"/>
      <c r="BK127" s="167"/>
      <c r="BL127" s="167"/>
      <c r="BM127" s="167"/>
      <c r="BN127" s="167"/>
      <c r="BO127" s="167"/>
      <c r="BP127" s="167"/>
      <c r="BQ127" s="167"/>
      <c r="BR127" s="167"/>
      <c r="BS127" s="167"/>
      <c r="BT127" s="167"/>
      <c r="BU127" s="167"/>
      <c r="BV127" s="167"/>
      <c r="BW127" s="159"/>
      <c r="BX127" s="159"/>
      <c r="BY127" s="159"/>
      <c r="BZ127" s="159"/>
      <c r="CA127" s="159"/>
      <c r="CB127" s="159"/>
      <c r="CC127" s="159"/>
      <c r="CD127" s="159"/>
      <c r="CE127" s="159"/>
      <c r="CF127" s="159"/>
      <c r="CG127" s="159"/>
      <c r="CH127" s="159"/>
      <c r="CI127" s="159"/>
      <c r="CJ127" s="159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59"/>
      <c r="CW127" s="159"/>
      <c r="CX127" s="159"/>
      <c r="CY127" s="134"/>
    </row>
    <row r="128" spans="1:103" ht="12.75" customHeight="1" x14ac:dyDescent="0.3">
      <c r="A128" s="155"/>
      <c r="B128" s="134"/>
      <c r="C128" s="134"/>
      <c r="D128" s="134"/>
      <c r="E128" s="157"/>
      <c r="F128" s="157"/>
      <c r="G128" s="157"/>
      <c r="H128" s="157"/>
      <c r="I128" s="158"/>
      <c r="J128" s="159"/>
      <c r="K128" s="159"/>
      <c r="L128" s="159"/>
      <c r="M128" s="160"/>
      <c r="N128" s="160"/>
      <c r="O128" s="160"/>
      <c r="P128" s="158"/>
      <c r="Q128" s="158"/>
      <c r="R128" s="158"/>
      <c r="S128" s="158"/>
      <c r="T128" s="158"/>
      <c r="U128" s="158"/>
      <c r="V128" s="159"/>
      <c r="W128" s="159"/>
      <c r="X128" s="159"/>
      <c r="Y128" s="158"/>
      <c r="Z128" s="159"/>
      <c r="AA128" s="160"/>
      <c r="AB128" s="160"/>
      <c r="AC128" s="160"/>
      <c r="AD128" s="160"/>
      <c r="AE128" s="160"/>
      <c r="AF128" s="159"/>
      <c r="AG128" s="159"/>
      <c r="AH128" s="159"/>
      <c r="AI128" s="159"/>
      <c r="AJ128" s="159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67"/>
      <c r="BQ128" s="167"/>
      <c r="BR128" s="167"/>
      <c r="BS128" s="167"/>
      <c r="BT128" s="167"/>
      <c r="BU128" s="167"/>
      <c r="BV128" s="167"/>
      <c r="BW128" s="159"/>
      <c r="BX128" s="159"/>
      <c r="BY128" s="159"/>
      <c r="BZ128" s="159"/>
      <c r="CA128" s="159"/>
      <c r="CB128" s="159"/>
      <c r="CC128" s="159"/>
      <c r="CD128" s="159"/>
      <c r="CE128" s="159"/>
      <c r="CF128" s="159"/>
      <c r="CG128" s="159"/>
      <c r="CH128" s="159"/>
      <c r="CI128" s="159"/>
      <c r="CJ128" s="159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59"/>
      <c r="CW128" s="159"/>
      <c r="CX128" s="159"/>
      <c r="CY128" s="134"/>
    </row>
    <row r="129" spans="1:103" ht="12.75" customHeight="1" x14ac:dyDescent="0.3">
      <c r="A129" s="155"/>
      <c r="B129" s="134"/>
      <c r="C129" s="134"/>
      <c r="D129" s="134"/>
      <c r="E129" s="157"/>
      <c r="F129" s="157"/>
      <c r="G129" s="157"/>
      <c r="H129" s="157"/>
      <c r="I129" s="158"/>
      <c r="J129" s="159"/>
      <c r="K129" s="159"/>
      <c r="L129" s="159"/>
      <c r="M129" s="160"/>
      <c r="N129" s="160"/>
      <c r="O129" s="160"/>
      <c r="P129" s="158"/>
      <c r="Q129" s="158"/>
      <c r="R129" s="158"/>
      <c r="S129" s="158"/>
      <c r="T129" s="158"/>
      <c r="U129" s="158"/>
      <c r="V129" s="159"/>
      <c r="W129" s="159"/>
      <c r="X129" s="159"/>
      <c r="Y129" s="158"/>
      <c r="Z129" s="159"/>
      <c r="AA129" s="160"/>
      <c r="AB129" s="160"/>
      <c r="AC129" s="160"/>
      <c r="AD129" s="160"/>
      <c r="AE129" s="160"/>
      <c r="AF129" s="159"/>
      <c r="AG129" s="159"/>
      <c r="AH129" s="159"/>
      <c r="AI129" s="159"/>
      <c r="AJ129" s="159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59"/>
      <c r="BX129" s="159"/>
      <c r="BY129" s="159"/>
      <c r="BZ129" s="159"/>
      <c r="CA129" s="159"/>
      <c r="CB129" s="159"/>
      <c r="CC129" s="159"/>
      <c r="CD129" s="159"/>
      <c r="CE129" s="159"/>
      <c r="CF129" s="159"/>
      <c r="CG129" s="159"/>
      <c r="CH129" s="159"/>
      <c r="CI129" s="159"/>
      <c r="CJ129" s="159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59"/>
      <c r="CW129" s="159"/>
      <c r="CX129" s="159"/>
      <c r="CY129" s="134"/>
    </row>
    <row r="130" spans="1:103" ht="12.75" customHeight="1" x14ac:dyDescent="0.3">
      <c r="A130" s="155"/>
      <c r="B130" s="134"/>
      <c r="C130" s="134"/>
      <c r="D130" s="134"/>
      <c r="E130" s="157"/>
      <c r="F130" s="157"/>
      <c r="G130" s="157"/>
      <c r="H130" s="157"/>
      <c r="I130" s="158"/>
      <c r="J130" s="159"/>
      <c r="K130" s="159"/>
      <c r="L130" s="159"/>
      <c r="M130" s="160"/>
      <c r="N130" s="160"/>
      <c r="O130" s="160"/>
      <c r="P130" s="158"/>
      <c r="Q130" s="158"/>
      <c r="R130" s="158"/>
      <c r="S130" s="158"/>
      <c r="T130" s="158"/>
      <c r="U130" s="158"/>
      <c r="V130" s="159"/>
      <c r="W130" s="159"/>
      <c r="X130" s="159"/>
      <c r="Y130" s="158"/>
      <c r="Z130" s="159"/>
      <c r="AA130" s="160"/>
      <c r="AB130" s="160"/>
      <c r="AC130" s="160"/>
      <c r="AD130" s="160"/>
      <c r="AE130" s="160"/>
      <c r="AF130" s="159"/>
      <c r="AG130" s="159"/>
      <c r="AH130" s="159"/>
      <c r="AI130" s="159"/>
      <c r="AJ130" s="159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67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59"/>
      <c r="BX130" s="159"/>
      <c r="BY130" s="159"/>
      <c r="BZ130" s="159"/>
      <c r="CA130" s="159"/>
      <c r="CB130" s="159"/>
      <c r="CC130" s="159"/>
      <c r="CD130" s="159"/>
      <c r="CE130" s="159"/>
      <c r="CF130" s="159"/>
      <c r="CG130" s="159"/>
      <c r="CH130" s="159"/>
      <c r="CI130" s="159"/>
      <c r="CJ130" s="159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59"/>
      <c r="CW130" s="159"/>
      <c r="CX130" s="159"/>
      <c r="CY130" s="134"/>
    </row>
    <row r="131" spans="1:103" ht="12.75" customHeight="1" x14ac:dyDescent="0.3">
      <c r="A131" s="155"/>
      <c r="B131" s="134"/>
      <c r="C131" s="134"/>
      <c r="D131" s="134"/>
      <c r="E131" s="157"/>
      <c r="F131" s="157"/>
      <c r="G131" s="157"/>
      <c r="H131" s="157"/>
      <c r="I131" s="158"/>
      <c r="J131" s="159"/>
      <c r="K131" s="159"/>
      <c r="L131" s="159"/>
      <c r="M131" s="160"/>
      <c r="N131" s="160"/>
      <c r="O131" s="160"/>
      <c r="P131" s="158"/>
      <c r="Q131" s="158"/>
      <c r="R131" s="158"/>
      <c r="S131" s="158"/>
      <c r="T131" s="158"/>
      <c r="U131" s="158"/>
      <c r="V131" s="159"/>
      <c r="W131" s="159"/>
      <c r="X131" s="159"/>
      <c r="Y131" s="158"/>
      <c r="Z131" s="159"/>
      <c r="AA131" s="160"/>
      <c r="AB131" s="160"/>
      <c r="AC131" s="160"/>
      <c r="AD131" s="160"/>
      <c r="AE131" s="160"/>
      <c r="AF131" s="159"/>
      <c r="AG131" s="159"/>
      <c r="AH131" s="159"/>
      <c r="AI131" s="159"/>
      <c r="AJ131" s="159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67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67"/>
      <c r="BQ131" s="167"/>
      <c r="BR131" s="167"/>
      <c r="BS131" s="167"/>
      <c r="BT131" s="167"/>
      <c r="BU131" s="167"/>
      <c r="BV131" s="167"/>
      <c r="BW131" s="159"/>
      <c r="BX131" s="159"/>
      <c r="BY131" s="159"/>
      <c r="BZ131" s="159"/>
      <c r="CA131" s="159"/>
      <c r="CB131" s="159"/>
      <c r="CC131" s="159"/>
      <c r="CD131" s="159"/>
      <c r="CE131" s="159"/>
      <c r="CF131" s="159"/>
      <c r="CG131" s="159"/>
      <c r="CH131" s="159"/>
      <c r="CI131" s="159"/>
      <c r="CJ131" s="159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59"/>
      <c r="CW131" s="159"/>
      <c r="CX131" s="159"/>
      <c r="CY131" s="134"/>
    </row>
    <row r="132" spans="1:103" ht="12.75" customHeight="1" x14ac:dyDescent="0.3">
      <c r="A132" s="155"/>
      <c r="B132" s="134"/>
      <c r="C132" s="134"/>
      <c r="D132" s="134"/>
      <c r="E132" s="157"/>
      <c r="F132" s="157"/>
      <c r="G132" s="157"/>
      <c r="H132" s="157"/>
      <c r="I132" s="158"/>
      <c r="J132" s="159"/>
      <c r="K132" s="159"/>
      <c r="L132" s="159"/>
      <c r="M132" s="160"/>
      <c r="N132" s="160"/>
      <c r="O132" s="160"/>
      <c r="P132" s="158"/>
      <c r="Q132" s="158"/>
      <c r="R132" s="158"/>
      <c r="S132" s="158"/>
      <c r="T132" s="158"/>
      <c r="U132" s="158"/>
      <c r="V132" s="159"/>
      <c r="W132" s="159"/>
      <c r="X132" s="159"/>
      <c r="Y132" s="158"/>
      <c r="Z132" s="159"/>
      <c r="AA132" s="160"/>
      <c r="AB132" s="160"/>
      <c r="AC132" s="160"/>
      <c r="AD132" s="160"/>
      <c r="AE132" s="160"/>
      <c r="AF132" s="159"/>
      <c r="AG132" s="159"/>
      <c r="AH132" s="159"/>
      <c r="AI132" s="159"/>
      <c r="AJ132" s="159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59"/>
      <c r="BX132" s="159"/>
      <c r="BY132" s="159"/>
      <c r="BZ132" s="159"/>
      <c r="CA132" s="159"/>
      <c r="CB132" s="159"/>
      <c r="CC132" s="159"/>
      <c r="CD132" s="159"/>
      <c r="CE132" s="159"/>
      <c r="CF132" s="159"/>
      <c r="CG132" s="159"/>
      <c r="CH132" s="159"/>
      <c r="CI132" s="159"/>
      <c r="CJ132" s="159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59"/>
      <c r="CW132" s="159"/>
      <c r="CX132" s="159"/>
      <c r="CY132" s="134"/>
    </row>
    <row r="133" spans="1:103" ht="12.75" customHeight="1" x14ac:dyDescent="0.3">
      <c r="A133" s="155"/>
      <c r="B133" s="134"/>
      <c r="C133" s="134"/>
      <c r="D133" s="134"/>
      <c r="E133" s="157"/>
      <c r="F133" s="157"/>
      <c r="G133" s="157"/>
      <c r="H133" s="157"/>
      <c r="I133" s="158"/>
      <c r="J133" s="159"/>
      <c r="K133" s="159"/>
      <c r="L133" s="159"/>
      <c r="M133" s="160"/>
      <c r="N133" s="160"/>
      <c r="O133" s="160"/>
      <c r="P133" s="158"/>
      <c r="Q133" s="158"/>
      <c r="R133" s="158"/>
      <c r="S133" s="158"/>
      <c r="T133" s="158"/>
      <c r="U133" s="158"/>
      <c r="V133" s="159"/>
      <c r="W133" s="159"/>
      <c r="X133" s="159"/>
      <c r="Y133" s="158"/>
      <c r="Z133" s="159"/>
      <c r="AA133" s="160"/>
      <c r="AB133" s="160"/>
      <c r="AC133" s="160"/>
      <c r="AD133" s="160"/>
      <c r="AE133" s="160"/>
      <c r="AF133" s="159"/>
      <c r="AG133" s="159"/>
      <c r="AH133" s="159"/>
      <c r="AI133" s="159"/>
      <c r="AJ133" s="159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67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59"/>
      <c r="BX133" s="159"/>
      <c r="BY133" s="159"/>
      <c r="BZ133" s="159"/>
      <c r="CA133" s="159"/>
      <c r="CB133" s="159"/>
      <c r="CC133" s="159"/>
      <c r="CD133" s="159"/>
      <c r="CE133" s="159"/>
      <c r="CF133" s="159"/>
      <c r="CG133" s="159"/>
      <c r="CH133" s="159"/>
      <c r="CI133" s="159"/>
      <c r="CJ133" s="159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59"/>
      <c r="CW133" s="159"/>
      <c r="CX133" s="159"/>
      <c r="CY133" s="134"/>
    </row>
    <row r="134" spans="1:103" ht="12.75" customHeight="1" x14ac:dyDescent="0.3">
      <c r="A134" s="155"/>
      <c r="B134" s="134"/>
      <c r="C134" s="134"/>
      <c r="D134" s="134"/>
      <c r="E134" s="157"/>
      <c r="F134" s="157"/>
      <c r="G134" s="157"/>
      <c r="H134" s="157"/>
      <c r="I134" s="158"/>
      <c r="J134" s="159"/>
      <c r="K134" s="159"/>
      <c r="L134" s="159"/>
      <c r="M134" s="160"/>
      <c r="N134" s="160"/>
      <c r="O134" s="160"/>
      <c r="P134" s="158"/>
      <c r="Q134" s="158"/>
      <c r="R134" s="158"/>
      <c r="S134" s="158"/>
      <c r="T134" s="158"/>
      <c r="U134" s="158"/>
      <c r="V134" s="159"/>
      <c r="W134" s="159"/>
      <c r="X134" s="159"/>
      <c r="Y134" s="158"/>
      <c r="Z134" s="159"/>
      <c r="AA134" s="160"/>
      <c r="AB134" s="160"/>
      <c r="AC134" s="160"/>
      <c r="AD134" s="160"/>
      <c r="AE134" s="160"/>
      <c r="AF134" s="159"/>
      <c r="AG134" s="159"/>
      <c r="AH134" s="159"/>
      <c r="AI134" s="159"/>
      <c r="AJ134" s="159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67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59"/>
      <c r="BX134" s="159"/>
      <c r="BY134" s="159"/>
      <c r="BZ134" s="159"/>
      <c r="CA134" s="159"/>
      <c r="CB134" s="159"/>
      <c r="CC134" s="159"/>
      <c r="CD134" s="159"/>
      <c r="CE134" s="159"/>
      <c r="CF134" s="159"/>
      <c r="CG134" s="159"/>
      <c r="CH134" s="159"/>
      <c r="CI134" s="159"/>
      <c r="CJ134" s="159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59"/>
      <c r="CW134" s="159"/>
      <c r="CX134" s="159"/>
      <c r="CY134" s="134"/>
    </row>
    <row r="135" spans="1:103" ht="12.75" customHeight="1" x14ac:dyDescent="0.3">
      <c r="A135" s="155"/>
      <c r="B135" s="134"/>
      <c r="C135" s="134"/>
      <c r="D135" s="134"/>
      <c r="E135" s="157"/>
      <c r="F135" s="157"/>
      <c r="G135" s="157"/>
      <c r="H135" s="157"/>
      <c r="I135" s="158"/>
      <c r="J135" s="159"/>
      <c r="K135" s="159"/>
      <c r="L135" s="159"/>
      <c r="M135" s="160"/>
      <c r="N135" s="160"/>
      <c r="O135" s="160"/>
      <c r="P135" s="158"/>
      <c r="Q135" s="158"/>
      <c r="R135" s="158"/>
      <c r="S135" s="158"/>
      <c r="T135" s="158"/>
      <c r="U135" s="158"/>
      <c r="V135" s="159"/>
      <c r="W135" s="159"/>
      <c r="X135" s="159"/>
      <c r="Y135" s="158"/>
      <c r="Z135" s="159"/>
      <c r="AA135" s="160"/>
      <c r="AB135" s="160"/>
      <c r="AC135" s="160"/>
      <c r="AD135" s="160"/>
      <c r="AE135" s="160"/>
      <c r="AF135" s="159"/>
      <c r="AG135" s="159"/>
      <c r="AH135" s="159"/>
      <c r="AI135" s="159"/>
      <c r="AJ135" s="159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67"/>
      <c r="BL135" s="167"/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59"/>
      <c r="BX135" s="159"/>
      <c r="BY135" s="159"/>
      <c r="BZ135" s="159"/>
      <c r="CA135" s="159"/>
      <c r="CB135" s="159"/>
      <c r="CC135" s="159"/>
      <c r="CD135" s="159"/>
      <c r="CE135" s="159"/>
      <c r="CF135" s="159"/>
      <c r="CG135" s="159"/>
      <c r="CH135" s="159"/>
      <c r="CI135" s="159"/>
      <c r="CJ135" s="159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59"/>
      <c r="CW135" s="159"/>
      <c r="CX135" s="159"/>
      <c r="CY135" s="134"/>
    </row>
    <row r="136" spans="1:103" ht="12.75" customHeight="1" x14ac:dyDescent="0.3">
      <c r="A136" s="155"/>
      <c r="B136" s="134"/>
      <c r="C136" s="134"/>
      <c r="D136" s="134"/>
      <c r="E136" s="157"/>
      <c r="F136" s="157"/>
      <c r="G136" s="157"/>
      <c r="H136" s="157"/>
      <c r="I136" s="158"/>
      <c r="J136" s="159"/>
      <c r="K136" s="159"/>
      <c r="L136" s="159"/>
      <c r="M136" s="160"/>
      <c r="N136" s="160"/>
      <c r="O136" s="160"/>
      <c r="P136" s="158"/>
      <c r="Q136" s="158"/>
      <c r="R136" s="158"/>
      <c r="S136" s="158"/>
      <c r="T136" s="158"/>
      <c r="U136" s="158"/>
      <c r="V136" s="159"/>
      <c r="W136" s="159"/>
      <c r="X136" s="159"/>
      <c r="Y136" s="158"/>
      <c r="Z136" s="159"/>
      <c r="AA136" s="160"/>
      <c r="AB136" s="160"/>
      <c r="AC136" s="160"/>
      <c r="AD136" s="160"/>
      <c r="AE136" s="160"/>
      <c r="AF136" s="159"/>
      <c r="AG136" s="159"/>
      <c r="AH136" s="159"/>
      <c r="AI136" s="159"/>
      <c r="AJ136" s="159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67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67"/>
      <c r="BQ136" s="167"/>
      <c r="BR136" s="167"/>
      <c r="BS136" s="167"/>
      <c r="BT136" s="167"/>
      <c r="BU136" s="167"/>
      <c r="BV136" s="167"/>
      <c r="BW136" s="159"/>
      <c r="BX136" s="159"/>
      <c r="BY136" s="159"/>
      <c r="BZ136" s="159"/>
      <c r="CA136" s="159"/>
      <c r="CB136" s="159"/>
      <c r="CC136" s="159"/>
      <c r="CD136" s="159"/>
      <c r="CE136" s="159"/>
      <c r="CF136" s="159"/>
      <c r="CG136" s="159"/>
      <c r="CH136" s="159"/>
      <c r="CI136" s="159"/>
      <c r="CJ136" s="159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59"/>
      <c r="CW136" s="159"/>
      <c r="CX136" s="159"/>
      <c r="CY136" s="134"/>
    </row>
    <row r="137" spans="1:103" ht="12.75" customHeight="1" x14ac:dyDescent="0.3">
      <c r="A137" s="155"/>
      <c r="B137" s="134"/>
      <c r="C137" s="134"/>
      <c r="D137" s="134"/>
      <c r="E137" s="157"/>
      <c r="F137" s="157"/>
      <c r="G137" s="157"/>
      <c r="H137" s="157"/>
      <c r="I137" s="158"/>
      <c r="J137" s="159"/>
      <c r="K137" s="159"/>
      <c r="L137" s="159"/>
      <c r="M137" s="160"/>
      <c r="N137" s="160"/>
      <c r="O137" s="160"/>
      <c r="P137" s="158"/>
      <c r="Q137" s="158"/>
      <c r="R137" s="158"/>
      <c r="S137" s="158"/>
      <c r="T137" s="158"/>
      <c r="U137" s="158"/>
      <c r="V137" s="159"/>
      <c r="W137" s="159"/>
      <c r="X137" s="159"/>
      <c r="Y137" s="158"/>
      <c r="Z137" s="159"/>
      <c r="AA137" s="160"/>
      <c r="AB137" s="160"/>
      <c r="AC137" s="160"/>
      <c r="AD137" s="160"/>
      <c r="AE137" s="160"/>
      <c r="AF137" s="159"/>
      <c r="AG137" s="159"/>
      <c r="AH137" s="159"/>
      <c r="AI137" s="159"/>
      <c r="AJ137" s="159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67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59"/>
      <c r="BX137" s="159"/>
      <c r="BY137" s="159"/>
      <c r="BZ137" s="159"/>
      <c r="CA137" s="159"/>
      <c r="CB137" s="159"/>
      <c r="CC137" s="159"/>
      <c r="CD137" s="159"/>
      <c r="CE137" s="159"/>
      <c r="CF137" s="159"/>
      <c r="CG137" s="159"/>
      <c r="CH137" s="159"/>
      <c r="CI137" s="159"/>
      <c r="CJ137" s="159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59"/>
      <c r="CW137" s="159"/>
      <c r="CX137" s="159"/>
      <c r="CY137" s="134"/>
    </row>
    <row r="138" spans="1:103" ht="12.75" customHeight="1" x14ac:dyDescent="0.3">
      <c r="A138" s="155"/>
      <c r="B138" s="134"/>
      <c r="C138" s="134"/>
      <c r="D138" s="134"/>
      <c r="E138" s="157"/>
      <c r="F138" s="157"/>
      <c r="G138" s="157"/>
      <c r="H138" s="157"/>
      <c r="I138" s="158"/>
      <c r="J138" s="159"/>
      <c r="K138" s="159"/>
      <c r="L138" s="159"/>
      <c r="M138" s="160"/>
      <c r="N138" s="160"/>
      <c r="O138" s="160"/>
      <c r="P138" s="158"/>
      <c r="Q138" s="158"/>
      <c r="R138" s="158"/>
      <c r="S138" s="158"/>
      <c r="T138" s="158"/>
      <c r="U138" s="158"/>
      <c r="V138" s="159"/>
      <c r="W138" s="159"/>
      <c r="X138" s="159"/>
      <c r="Y138" s="158"/>
      <c r="Z138" s="159"/>
      <c r="AA138" s="160"/>
      <c r="AB138" s="160"/>
      <c r="AC138" s="160"/>
      <c r="AD138" s="160"/>
      <c r="AE138" s="160"/>
      <c r="AF138" s="159"/>
      <c r="AG138" s="159"/>
      <c r="AH138" s="159"/>
      <c r="AI138" s="159"/>
      <c r="AJ138" s="159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59"/>
      <c r="BX138" s="159"/>
      <c r="BY138" s="159"/>
      <c r="BZ138" s="159"/>
      <c r="CA138" s="159"/>
      <c r="CB138" s="159"/>
      <c r="CC138" s="159"/>
      <c r="CD138" s="159"/>
      <c r="CE138" s="159"/>
      <c r="CF138" s="159"/>
      <c r="CG138" s="159"/>
      <c r="CH138" s="159"/>
      <c r="CI138" s="159"/>
      <c r="CJ138" s="159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59"/>
      <c r="CW138" s="159"/>
      <c r="CX138" s="159"/>
      <c r="CY138" s="134"/>
    </row>
    <row r="139" spans="1:103" ht="12.75" customHeight="1" x14ac:dyDescent="0.3">
      <c r="A139" s="155"/>
      <c r="B139" s="134"/>
      <c r="C139" s="134"/>
      <c r="D139" s="134"/>
      <c r="E139" s="157"/>
      <c r="F139" s="157"/>
      <c r="G139" s="157"/>
      <c r="H139" s="157"/>
      <c r="I139" s="158"/>
      <c r="J139" s="159"/>
      <c r="K139" s="159"/>
      <c r="L139" s="159"/>
      <c r="M139" s="160"/>
      <c r="N139" s="160"/>
      <c r="O139" s="160"/>
      <c r="P139" s="158"/>
      <c r="Q139" s="158"/>
      <c r="R139" s="158"/>
      <c r="S139" s="158"/>
      <c r="T139" s="158"/>
      <c r="U139" s="158"/>
      <c r="V139" s="159"/>
      <c r="W139" s="159"/>
      <c r="X139" s="159"/>
      <c r="Y139" s="158"/>
      <c r="Z139" s="159"/>
      <c r="AA139" s="160"/>
      <c r="AB139" s="160"/>
      <c r="AC139" s="160"/>
      <c r="AD139" s="160"/>
      <c r="AE139" s="160"/>
      <c r="AF139" s="159"/>
      <c r="AG139" s="159"/>
      <c r="AH139" s="159"/>
      <c r="AI139" s="159"/>
      <c r="AJ139" s="159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67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59"/>
      <c r="BX139" s="159"/>
      <c r="BY139" s="159"/>
      <c r="BZ139" s="159"/>
      <c r="CA139" s="159"/>
      <c r="CB139" s="159"/>
      <c r="CC139" s="159"/>
      <c r="CD139" s="159"/>
      <c r="CE139" s="159"/>
      <c r="CF139" s="159"/>
      <c r="CG139" s="159"/>
      <c r="CH139" s="159"/>
      <c r="CI139" s="159"/>
      <c r="CJ139" s="159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59"/>
      <c r="CW139" s="159"/>
      <c r="CX139" s="159"/>
      <c r="CY139" s="134"/>
    </row>
    <row r="140" spans="1:103" ht="12.75" customHeight="1" x14ac:dyDescent="0.3">
      <c r="A140" s="155"/>
      <c r="B140" s="134"/>
      <c r="C140" s="134"/>
      <c r="D140" s="134"/>
      <c r="E140" s="157"/>
      <c r="F140" s="157"/>
      <c r="G140" s="157"/>
      <c r="H140" s="157"/>
      <c r="I140" s="158"/>
      <c r="J140" s="159"/>
      <c r="K140" s="159"/>
      <c r="L140" s="159"/>
      <c r="M140" s="160"/>
      <c r="N140" s="160"/>
      <c r="O140" s="160"/>
      <c r="P140" s="158"/>
      <c r="Q140" s="158"/>
      <c r="R140" s="158"/>
      <c r="S140" s="158"/>
      <c r="T140" s="158"/>
      <c r="U140" s="158"/>
      <c r="V140" s="159"/>
      <c r="W140" s="159"/>
      <c r="X140" s="159"/>
      <c r="Y140" s="158"/>
      <c r="Z140" s="159"/>
      <c r="AA140" s="160"/>
      <c r="AB140" s="160"/>
      <c r="AC140" s="160"/>
      <c r="AD140" s="160"/>
      <c r="AE140" s="160"/>
      <c r="AF140" s="159"/>
      <c r="AG140" s="159"/>
      <c r="AH140" s="159"/>
      <c r="AI140" s="159"/>
      <c r="AJ140" s="159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67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67"/>
      <c r="BQ140" s="167"/>
      <c r="BR140" s="167"/>
      <c r="BS140" s="167"/>
      <c r="BT140" s="167"/>
      <c r="BU140" s="167"/>
      <c r="BV140" s="167"/>
      <c r="BW140" s="159"/>
      <c r="BX140" s="159"/>
      <c r="BY140" s="159"/>
      <c r="BZ140" s="159"/>
      <c r="CA140" s="159"/>
      <c r="CB140" s="159"/>
      <c r="CC140" s="159"/>
      <c r="CD140" s="159"/>
      <c r="CE140" s="159"/>
      <c r="CF140" s="159"/>
      <c r="CG140" s="159"/>
      <c r="CH140" s="159"/>
      <c r="CI140" s="159"/>
      <c r="CJ140" s="159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59"/>
      <c r="CW140" s="159"/>
      <c r="CX140" s="159"/>
      <c r="CY140" s="134"/>
    </row>
    <row r="141" spans="1:103" ht="12.75" customHeight="1" x14ac:dyDescent="0.3">
      <c r="A141" s="155"/>
      <c r="B141" s="134"/>
      <c r="C141" s="134"/>
      <c r="D141" s="134"/>
      <c r="E141" s="157"/>
      <c r="F141" s="157"/>
      <c r="G141" s="157"/>
      <c r="H141" s="157"/>
      <c r="I141" s="158"/>
      <c r="J141" s="159"/>
      <c r="K141" s="159"/>
      <c r="L141" s="159"/>
      <c r="M141" s="160"/>
      <c r="N141" s="160"/>
      <c r="O141" s="160"/>
      <c r="P141" s="158"/>
      <c r="Q141" s="158"/>
      <c r="R141" s="158"/>
      <c r="S141" s="158"/>
      <c r="T141" s="158"/>
      <c r="U141" s="158"/>
      <c r="V141" s="159"/>
      <c r="W141" s="159"/>
      <c r="X141" s="159"/>
      <c r="Y141" s="158"/>
      <c r="Z141" s="159"/>
      <c r="AA141" s="160"/>
      <c r="AB141" s="160"/>
      <c r="AC141" s="160"/>
      <c r="AD141" s="160"/>
      <c r="AE141" s="160"/>
      <c r="AF141" s="159"/>
      <c r="AG141" s="159"/>
      <c r="AH141" s="159"/>
      <c r="AI141" s="159"/>
      <c r="AJ141" s="159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67"/>
      <c r="BQ141" s="167"/>
      <c r="BR141" s="167"/>
      <c r="BS141" s="167"/>
      <c r="BT141" s="167"/>
      <c r="BU141" s="167"/>
      <c r="BV141" s="167"/>
      <c r="BW141" s="159"/>
      <c r="BX141" s="159"/>
      <c r="BY141" s="159"/>
      <c r="BZ141" s="159"/>
      <c r="CA141" s="159"/>
      <c r="CB141" s="159"/>
      <c r="CC141" s="159"/>
      <c r="CD141" s="159"/>
      <c r="CE141" s="159"/>
      <c r="CF141" s="159"/>
      <c r="CG141" s="159"/>
      <c r="CH141" s="159"/>
      <c r="CI141" s="159"/>
      <c r="CJ141" s="159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59"/>
      <c r="CW141" s="159"/>
      <c r="CX141" s="159"/>
      <c r="CY141" s="134"/>
    </row>
    <row r="142" spans="1:103" ht="12.75" customHeight="1" x14ac:dyDescent="0.3">
      <c r="A142" s="155"/>
      <c r="B142" s="134"/>
      <c r="C142" s="134"/>
      <c r="D142" s="134"/>
      <c r="E142" s="157"/>
      <c r="F142" s="157"/>
      <c r="G142" s="157"/>
      <c r="H142" s="157"/>
      <c r="I142" s="158"/>
      <c r="J142" s="159"/>
      <c r="K142" s="159"/>
      <c r="L142" s="159"/>
      <c r="M142" s="160"/>
      <c r="N142" s="160"/>
      <c r="O142" s="160"/>
      <c r="P142" s="158"/>
      <c r="Q142" s="158"/>
      <c r="R142" s="158"/>
      <c r="S142" s="158"/>
      <c r="T142" s="158"/>
      <c r="U142" s="158"/>
      <c r="V142" s="159"/>
      <c r="W142" s="159"/>
      <c r="X142" s="159"/>
      <c r="Y142" s="158"/>
      <c r="Z142" s="159"/>
      <c r="AA142" s="160"/>
      <c r="AB142" s="160"/>
      <c r="AC142" s="160"/>
      <c r="AD142" s="160"/>
      <c r="AE142" s="160"/>
      <c r="AF142" s="159"/>
      <c r="AG142" s="159"/>
      <c r="AH142" s="159"/>
      <c r="AI142" s="159"/>
      <c r="AJ142" s="159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67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67"/>
      <c r="BQ142" s="167"/>
      <c r="BR142" s="167"/>
      <c r="BS142" s="167"/>
      <c r="BT142" s="167"/>
      <c r="BU142" s="167"/>
      <c r="BV142" s="167"/>
      <c r="BW142" s="159"/>
      <c r="BX142" s="159"/>
      <c r="BY142" s="159"/>
      <c r="BZ142" s="159"/>
      <c r="CA142" s="159"/>
      <c r="CB142" s="159"/>
      <c r="CC142" s="159"/>
      <c r="CD142" s="159"/>
      <c r="CE142" s="159"/>
      <c r="CF142" s="159"/>
      <c r="CG142" s="159"/>
      <c r="CH142" s="159"/>
      <c r="CI142" s="159"/>
      <c r="CJ142" s="159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59"/>
      <c r="CW142" s="159"/>
      <c r="CX142" s="159"/>
      <c r="CY142" s="134"/>
    </row>
    <row r="143" spans="1:103" ht="12.75" customHeight="1" x14ac:dyDescent="0.3">
      <c r="A143" s="155"/>
      <c r="B143" s="134"/>
      <c r="C143" s="134"/>
      <c r="D143" s="134"/>
      <c r="E143" s="157"/>
      <c r="F143" s="157"/>
      <c r="G143" s="157"/>
      <c r="H143" s="157"/>
      <c r="I143" s="158"/>
      <c r="J143" s="159"/>
      <c r="K143" s="159"/>
      <c r="L143" s="159"/>
      <c r="M143" s="160"/>
      <c r="N143" s="160"/>
      <c r="O143" s="160"/>
      <c r="P143" s="158"/>
      <c r="Q143" s="158"/>
      <c r="R143" s="158"/>
      <c r="S143" s="158"/>
      <c r="T143" s="158"/>
      <c r="U143" s="158"/>
      <c r="V143" s="159"/>
      <c r="W143" s="159"/>
      <c r="X143" s="159"/>
      <c r="Y143" s="158"/>
      <c r="Z143" s="159"/>
      <c r="AA143" s="160"/>
      <c r="AB143" s="160"/>
      <c r="AC143" s="160"/>
      <c r="AD143" s="160"/>
      <c r="AE143" s="160"/>
      <c r="AF143" s="159"/>
      <c r="AG143" s="159"/>
      <c r="AH143" s="159"/>
      <c r="AI143" s="159"/>
      <c r="AJ143" s="159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67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67"/>
      <c r="BQ143" s="167"/>
      <c r="BR143" s="167"/>
      <c r="BS143" s="167"/>
      <c r="BT143" s="167"/>
      <c r="BU143" s="167"/>
      <c r="BV143" s="167"/>
      <c r="BW143" s="159"/>
      <c r="BX143" s="159"/>
      <c r="BY143" s="159"/>
      <c r="BZ143" s="159"/>
      <c r="CA143" s="159"/>
      <c r="CB143" s="159"/>
      <c r="CC143" s="159"/>
      <c r="CD143" s="159"/>
      <c r="CE143" s="159"/>
      <c r="CF143" s="159"/>
      <c r="CG143" s="159"/>
      <c r="CH143" s="159"/>
      <c r="CI143" s="159"/>
      <c r="CJ143" s="159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59"/>
      <c r="CW143" s="159"/>
      <c r="CX143" s="159"/>
      <c r="CY143" s="134"/>
    </row>
    <row r="144" spans="1:103" ht="12.75" customHeight="1" x14ac:dyDescent="0.3">
      <c r="A144" s="155"/>
      <c r="B144" s="134"/>
      <c r="C144" s="134"/>
      <c r="D144" s="134"/>
      <c r="E144" s="157"/>
      <c r="F144" s="157"/>
      <c r="G144" s="157"/>
      <c r="H144" s="157"/>
      <c r="I144" s="158"/>
      <c r="J144" s="159"/>
      <c r="K144" s="159"/>
      <c r="L144" s="159"/>
      <c r="M144" s="160"/>
      <c r="N144" s="160"/>
      <c r="O144" s="160"/>
      <c r="P144" s="158"/>
      <c r="Q144" s="158"/>
      <c r="R144" s="158"/>
      <c r="S144" s="158"/>
      <c r="T144" s="158"/>
      <c r="U144" s="158"/>
      <c r="V144" s="159"/>
      <c r="W144" s="159"/>
      <c r="X144" s="159"/>
      <c r="Y144" s="158"/>
      <c r="Z144" s="159"/>
      <c r="AA144" s="160"/>
      <c r="AB144" s="160"/>
      <c r="AC144" s="160"/>
      <c r="AD144" s="160"/>
      <c r="AE144" s="160"/>
      <c r="AF144" s="159"/>
      <c r="AG144" s="159"/>
      <c r="AH144" s="159"/>
      <c r="AI144" s="159"/>
      <c r="AJ144" s="159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67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67"/>
      <c r="BQ144" s="167"/>
      <c r="BR144" s="167"/>
      <c r="BS144" s="167"/>
      <c r="BT144" s="167"/>
      <c r="BU144" s="167"/>
      <c r="BV144" s="167"/>
      <c r="BW144" s="159"/>
      <c r="BX144" s="159"/>
      <c r="BY144" s="159"/>
      <c r="BZ144" s="159"/>
      <c r="CA144" s="159"/>
      <c r="CB144" s="159"/>
      <c r="CC144" s="159"/>
      <c r="CD144" s="159"/>
      <c r="CE144" s="159"/>
      <c r="CF144" s="159"/>
      <c r="CG144" s="159"/>
      <c r="CH144" s="159"/>
      <c r="CI144" s="159"/>
      <c r="CJ144" s="159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59"/>
      <c r="CW144" s="159"/>
      <c r="CX144" s="159"/>
      <c r="CY144" s="134"/>
    </row>
    <row r="145" spans="1:103" ht="12.75" customHeight="1" x14ac:dyDescent="0.3">
      <c r="A145" s="155"/>
      <c r="B145" s="134"/>
      <c r="C145" s="134"/>
      <c r="D145" s="134"/>
      <c r="E145" s="157"/>
      <c r="F145" s="157"/>
      <c r="G145" s="157"/>
      <c r="H145" s="157"/>
      <c r="I145" s="158"/>
      <c r="J145" s="159"/>
      <c r="K145" s="159"/>
      <c r="L145" s="159"/>
      <c r="M145" s="160"/>
      <c r="N145" s="160"/>
      <c r="O145" s="160"/>
      <c r="P145" s="158"/>
      <c r="Q145" s="158"/>
      <c r="R145" s="158"/>
      <c r="S145" s="158"/>
      <c r="T145" s="158"/>
      <c r="U145" s="158"/>
      <c r="V145" s="159"/>
      <c r="W145" s="159"/>
      <c r="X145" s="159"/>
      <c r="Y145" s="158"/>
      <c r="Z145" s="159"/>
      <c r="AA145" s="160"/>
      <c r="AB145" s="160"/>
      <c r="AC145" s="160"/>
      <c r="AD145" s="160"/>
      <c r="AE145" s="160"/>
      <c r="AF145" s="159"/>
      <c r="AG145" s="159"/>
      <c r="AH145" s="159"/>
      <c r="AI145" s="159"/>
      <c r="AJ145" s="159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67"/>
      <c r="BQ145" s="167"/>
      <c r="BR145" s="167"/>
      <c r="BS145" s="167"/>
      <c r="BT145" s="167"/>
      <c r="BU145" s="167"/>
      <c r="BV145" s="167"/>
      <c r="BW145" s="159"/>
      <c r="BX145" s="159"/>
      <c r="BY145" s="159"/>
      <c r="BZ145" s="159"/>
      <c r="CA145" s="159"/>
      <c r="CB145" s="159"/>
      <c r="CC145" s="159"/>
      <c r="CD145" s="159"/>
      <c r="CE145" s="159"/>
      <c r="CF145" s="159"/>
      <c r="CG145" s="159"/>
      <c r="CH145" s="159"/>
      <c r="CI145" s="159"/>
      <c r="CJ145" s="159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59"/>
      <c r="CW145" s="159"/>
      <c r="CX145" s="159"/>
      <c r="CY145" s="134"/>
    </row>
    <row r="146" spans="1:103" ht="12.75" customHeight="1" x14ac:dyDescent="0.3">
      <c r="A146" s="155"/>
      <c r="B146" s="134"/>
      <c r="C146" s="134"/>
      <c r="D146" s="134"/>
      <c r="E146" s="157"/>
      <c r="F146" s="157"/>
      <c r="G146" s="157"/>
      <c r="H146" s="157"/>
      <c r="I146" s="158"/>
      <c r="J146" s="159"/>
      <c r="K146" s="159"/>
      <c r="L146" s="159"/>
      <c r="M146" s="160"/>
      <c r="N146" s="160"/>
      <c r="O146" s="160"/>
      <c r="P146" s="158"/>
      <c r="Q146" s="158"/>
      <c r="R146" s="158"/>
      <c r="S146" s="158"/>
      <c r="T146" s="158"/>
      <c r="U146" s="158"/>
      <c r="V146" s="159"/>
      <c r="W146" s="159"/>
      <c r="X146" s="159"/>
      <c r="Y146" s="158"/>
      <c r="Z146" s="159"/>
      <c r="AA146" s="160"/>
      <c r="AB146" s="160"/>
      <c r="AC146" s="160"/>
      <c r="AD146" s="160"/>
      <c r="AE146" s="160"/>
      <c r="AF146" s="159"/>
      <c r="AG146" s="159"/>
      <c r="AH146" s="159"/>
      <c r="AI146" s="159"/>
      <c r="AJ146" s="159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67"/>
      <c r="BQ146" s="167"/>
      <c r="BR146" s="167"/>
      <c r="BS146" s="167"/>
      <c r="BT146" s="167"/>
      <c r="BU146" s="167"/>
      <c r="BV146" s="167"/>
      <c r="BW146" s="159"/>
      <c r="BX146" s="159"/>
      <c r="BY146" s="159"/>
      <c r="BZ146" s="159"/>
      <c r="CA146" s="159"/>
      <c r="CB146" s="159"/>
      <c r="CC146" s="159"/>
      <c r="CD146" s="159"/>
      <c r="CE146" s="159"/>
      <c r="CF146" s="159"/>
      <c r="CG146" s="159"/>
      <c r="CH146" s="159"/>
      <c r="CI146" s="159"/>
      <c r="CJ146" s="159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59"/>
      <c r="CW146" s="159"/>
      <c r="CX146" s="159"/>
      <c r="CY146" s="134"/>
    </row>
    <row r="147" spans="1:103" ht="12.75" customHeight="1" x14ac:dyDescent="0.3">
      <c r="A147" s="155"/>
      <c r="B147" s="134"/>
      <c r="C147" s="134"/>
      <c r="D147" s="134"/>
      <c r="E147" s="157"/>
      <c r="F147" s="157"/>
      <c r="G147" s="157"/>
      <c r="H147" s="157"/>
      <c r="I147" s="158"/>
      <c r="J147" s="159"/>
      <c r="K147" s="159"/>
      <c r="L147" s="159"/>
      <c r="M147" s="160"/>
      <c r="N147" s="160"/>
      <c r="O147" s="160"/>
      <c r="P147" s="158"/>
      <c r="Q147" s="158"/>
      <c r="R147" s="158"/>
      <c r="S147" s="158"/>
      <c r="T147" s="158"/>
      <c r="U147" s="158"/>
      <c r="V147" s="159"/>
      <c r="W147" s="159"/>
      <c r="X147" s="159"/>
      <c r="Y147" s="158"/>
      <c r="Z147" s="159"/>
      <c r="AA147" s="160"/>
      <c r="AB147" s="160"/>
      <c r="AC147" s="160"/>
      <c r="AD147" s="160"/>
      <c r="AE147" s="160"/>
      <c r="AF147" s="159"/>
      <c r="AG147" s="159"/>
      <c r="AH147" s="159"/>
      <c r="AI147" s="159"/>
      <c r="AJ147" s="159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67"/>
      <c r="BQ147" s="167"/>
      <c r="BR147" s="167"/>
      <c r="BS147" s="167"/>
      <c r="BT147" s="167"/>
      <c r="BU147" s="167"/>
      <c r="BV147" s="167"/>
      <c r="BW147" s="159"/>
      <c r="BX147" s="159"/>
      <c r="BY147" s="159"/>
      <c r="BZ147" s="159"/>
      <c r="CA147" s="159"/>
      <c r="CB147" s="159"/>
      <c r="CC147" s="159"/>
      <c r="CD147" s="159"/>
      <c r="CE147" s="159"/>
      <c r="CF147" s="159"/>
      <c r="CG147" s="159"/>
      <c r="CH147" s="159"/>
      <c r="CI147" s="159"/>
      <c r="CJ147" s="159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59"/>
      <c r="CW147" s="159"/>
      <c r="CX147" s="159"/>
      <c r="CY147" s="134"/>
    </row>
    <row r="148" spans="1:103" ht="12.75" customHeight="1" x14ac:dyDescent="0.3">
      <c r="A148" s="155"/>
      <c r="B148" s="134"/>
      <c r="C148" s="134"/>
      <c r="D148" s="134"/>
      <c r="E148" s="157"/>
      <c r="F148" s="157"/>
      <c r="G148" s="157"/>
      <c r="H148" s="157"/>
      <c r="I148" s="158"/>
      <c r="J148" s="159"/>
      <c r="K148" s="159"/>
      <c r="L148" s="159"/>
      <c r="M148" s="160"/>
      <c r="N148" s="160"/>
      <c r="O148" s="160"/>
      <c r="P148" s="158"/>
      <c r="Q148" s="158"/>
      <c r="R148" s="158"/>
      <c r="S148" s="158"/>
      <c r="T148" s="158"/>
      <c r="U148" s="158"/>
      <c r="V148" s="159"/>
      <c r="W148" s="159"/>
      <c r="X148" s="159"/>
      <c r="Y148" s="158"/>
      <c r="Z148" s="159"/>
      <c r="AA148" s="160"/>
      <c r="AB148" s="160"/>
      <c r="AC148" s="160"/>
      <c r="AD148" s="160"/>
      <c r="AE148" s="160"/>
      <c r="AF148" s="159"/>
      <c r="AG148" s="159"/>
      <c r="AH148" s="159"/>
      <c r="AI148" s="159"/>
      <c r="AJ148" s="159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67"/>
      <c r="BQ148" s="167"/>
      <c r="BR148" s="167"/>
      <c r="BS148" s="167"/>
      <c r="BT148" s="167"/>
      <c r="BU148" s="167"/>
      <c r="BV148" s="167"/>
      <c r="BW148" s="159"/>
      <c r="BX148" s="159"/>
      <c r="BY148" s="159"/>
      <c r="BZ148" s="159"/>
      <c r="CA148" s="159"/>
      <c r="CB148" s="159"/>
      <c r="CC148" s="159"/>
      <c r="CD148" s="159"/>
      <c r="CE148" s="159"/>
      <c r="CF148" s="159"/>
      <c r="CG148" s="159"/>
      <c r="CH148" s="159"/>
      <c r="CI148" s="159"/>
      <c r="CJ148" s="159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59"/>
      <c r="CW148" s="159"/>
      <c r="CX148" s="159"/>
      <c r="CY148" s="134"/>
    </row>
    <row r="149" spans="1:103" ht="12.75" customHeight="1" x14ac:dyDescent="0.3">
      <c r="A149" s="155"/>
      <c r="B149" s="134"/>
      <c r="C149" s="134"/>
      <c r="D149" s="134"/>
      <c r="E149" s="157"/>
      <c r="F149" s="157"/>
      <c r="G149" s="157"/>
      <c r="H149" s="157"/>
      <c r="I149" s="158"/>
      <c r="J149" s="159"/>
      <c r="K149" s="159"/>
      <c r="L149" s="159"/>
      <c r="M149" s="160"/>
      <c r="N149" s="160"/>
      <c r="O149" s="160"/>
      <c r="P149" s="158"/>
      <c r="Q149" s="158"/>
      <c r="R149" s="158"/>
      <c r="S149" s="158"/>
      <c r="T149" s="158"/>
      <c r="U149" s="158"/>
      <c r="V149" s="159"/>
      <c r="W149" s="159"/>
      <c r="X149" s="159"/>
      <c r="Y149" s="158"/>
      <c r="Z149" s="159"/>
      <c r="AA149" s="160"/>
      <c r="AB149" s="160"/>
      <c r="AC149" s="160"/>
      <c r="AD149" s="160"/>
      <c r="AE149" s="160"/>
      <c r="AF149" s="159"/>
      <c r="AG149" s="159"/>
      <c r="AH149" s="159"/>
      <c r="AI149" s="159"/>
      <c r="AJ149" s="159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67"/>
      <c r="BQ149" s="167"/>
      <c r="BR149" s="167"/>
      <c r="BS149" s="167"/>
      <c r="BT149" s="167"/>
      <c r="BU149" s="167"/>
      <c r="BV149" s="167"/>
      <c r="BW149" s="159"/>
      <c r="BX149" s="159"/>
      <c r="BY149" s="159"/>
      <c r="BZ149" s="159"/>
      <c r="CA149" s="159"/>
      <c r="CB149" s="159"/>
      <c r="CC149" s="159"/>
      <c r="CD149" s="159"/>
      <c r="CE149" s="159"/>
      <c r="CF149" s="159"/>
      <c r="CG149" s="159"/>
      <c r="CH149" s="159"/>
      <c r="CI149" s="159"/>
      <c r="CJ149" s="159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59"/>
      <c r="CW149" s="159"/>
      <c r="CX149" s="159"/>
      <c r="CY149" s="134"/>
    </row>
    <row r="150" spans="1:103" ht="12.75" customHeight="1" x14ac:dyDescent="0.3">
      <c r="A150" s="155"/>
      <c r="B150" s="134"/>
      <c r="C150" s="134"/>
      <c r="D150" s="134"/>
      <c r="E150" s="157"/>
      <c r="F150" s="157"/>
      <c r="G150" s="157"/>
      <c r="H150" s="157"/>
      <c r="I150" s="158"/>
      <c r="J150" s="159"/>
      <c r="K150" s="159"/>
      <c r="L150" s="159"/>
      <c r="M150" s="160"/>
      <c r="N150" s="160"/>
      <c r="O150" s="160"/>
      <c r="P150" s="158"/>
      <c r="Q150" s="158"/>
      <c r="R150" s="158"/>
      <c r="S150" s="158"/>
      <c r="T150" s="158"/>
      <c r="U150" s="158"/>
      <c r="V150" s="159"/>
      <c r="W150" s="159"/>
      <c r="X150" s="159"/>
      <c r="Y150" s="158"/>
      <c r="Z150" s="159"/>
      <c r="AA150" s="160"/>
      <c r="AB150" s="160"/>
      <c r="AC150" s="160"/>
      <c r="AD150" s="160"/>
      <c r="AE150" s="160"/>
      <c r="AF150" s="159"/>
      <c r="AG150" s="159"/>
      <c r="AH150" s="159"/>
      <c r="AI150" s="159"/>
      <c r="AJ150" s="159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67"/>
      <c r="BQ150" s="167"/>
      <c r="BR150" s="167"/>
      <c r="BS150" s="167"/>
      <c r="BT150" s="167"/>
      <c r="BU150" s="167"/>
      <c r="BV150" s="167"/>
      <c r="BW150" s="159"/>
      <c r="BX150" s="159"/>
      <c r="BY150" s="159"/>
      <c r="BZ150" s="159"/>
      <c r="CA150" s="159"/>
      <c r="CB150" s="159"/>
      <c r="CC150" s="159"/>
      <c r="CD150" s="159"/>
      <c r="CE150" s="159"/>
      <c r="CF150" s="159"/>
      <c r="CG150" s="159"/>
      <c r="CH150" s="159"/>
      <c r="CI150" s="159"/>
      <c r="CJ150" s="159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59"/>
      <c r="CW150" s="159"/>
      <c r="CX150" s="159"/>
      <c r="CY150" s="134"/>
    </row>
    <row r="151" spans="1:103" ht="12.75" customHeight="1" x14ac:dyDescent="0.3">
      <c r="A151" s="155"/>
      <c r="B151" s="134"/>
      <c r="C151" s="134"/>
      <c r="D151" s="134"/>
      <c r="E151" s="157"/>
      <c r="F151" s="157"/>
      <c r="G151" s="157"/>
      <c r="H151" s="157"/>
      <c r="I151" s="158"/>
      <c r="J151" s="159"/>
      <c r="K151" s="159"/>
      <c r="L151" s="159"/>
      <c r="M151" s="160"/>
      <c r="N151" s="160"/>
      <c r="O151" s="160"/>
      <c r="P151" s="158"/>
      <c r="Q151" s="158"/>
      <c r="R151" s="158"/>
      <c r="S151" s="158"/>
      <c r="T151" s="158"/>
      <c r="U151" s="158"/>
      <c r="V151" s="159"/>
      <c r="W151" s="159"/>
      <c r="X151" s="159"/>
      <c r="Y151" s="158"/>
      <c r="Z151" s="159"/>
      <c r="AA151" s="160"/>
      <c r="AB151" s="160"/>
      <c r="AC151" s="160"/>
      <c r="AD151" s="160"/>
      <c r="AE151" s="160"/>
      <c r="AF151" s="159"/>
      <c r="AG151" s="159"/>
      <c r="AH151" s="159"/>
      <c r="AI151" s="159"/>
      <c r="AJ151" s="159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67"/>
      <c r="BQ151" s="167"/>
      <c r="BR151" s="167"/>
      <c r="BS151" s="167"/>
      <c r="BT151" s="167"/>
      <c r="BU151" s="167"/>
      <c r="BV151" s="167"/>
      <c r="BW151" s="159"/>
      <c r="BX151" s="159"/>
      <c r="BY151" s="159"/>
      <c r="BZ151" s="159"/>
      <c r="CA151" s="159"/>
      <c r="CB151" s="159"/>
      <c r="CC151" s="159"/>
      <c r="CD151" s="159"/>
      <c r="CE151" s="159"/>
      <c r="CF151" s="159"/>
      <c r="CG151" s="159"/>
      <c r="CH151" s="159"/>
      <c r="CI151" s="159"/>
      <c r="CJ151" s="159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59"/>
      <c r="CW151" s="159"/>
      <c r="CX151" s="159"/>
      <c r="CY151" s="134"/>
    </row>
    <row r="152" spans="1:103" ht="12.75" customHeight="1" x14ac:dyDescent="0.3">
      <c r="A152" s="155"/>
      <c r="B152" s="134"/>
      <c r="C152" s="134"/>
      <c r="D152" s="134"/>
      <c r="E152" s="157"/>
      <c r="F152" s="157"/>
      <c r="G152" s="157"/>
      <c r="H152" s="157"/>
      <c r="I152" s="158"/>
      <c r="J152" s="159"/>
      <c r="K152" s="159"/>
      <c r="L152" s="159"/>
      <c r="M152" s="160"/>
      <c r="N152" s="160"/>
      <c r="O152" s="160"/>
      <c r="P152" s="158"/>
      <c r="Q152" s="158"/>
      <c r="R152" s="158"/>
      <c r="S152" s="158"/>
      <c r="T152" s="158"/>
      <c r="U152" s="158"/>
      <c r="V152" s="159"/>
      <c r="W152" s="159"/>
      <c r="X152" s="159"/>
      <c r="Y152" s="158"/>
      <c r="Z152" s="159"/>
      <c r="AA152" s="160"/>
      <c r="AB152" s="160"/>
      <c r="AC152" s="160"/>
      <c r="AD152" s="160"/>
      <c r="AE152" s="160"/>
      <c r="AF152" s="159"/>
      <c r="AG152" s="159"/>
      <c r="AH152" s="159"/>
      <c r="AI152" s="159"/>
      <c r="AJ152" s="159"/>
      <c r="AK152" s="167"/>
      <c r="AL152" s="167"/>
      <c r="AM152" s="167"/>
      <c r="AN152" s="167"/>
      <c r="AO152" s="167"/>
      <c r="AP152" s="167"/>
      <c r="AQ152" s="167"/>
      <c r="AR152" s="167"/>
      <c r="AS152" s="167"/>
      <c r="AT152" s="167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67"/>
      <c r="BQ152" s="167"/>
      <c r="BR152" s="167"/>
      <c r="BS152" s="167"/>
      <c r="BT152" s="167"/>
      <c r="BU152" s="167"/>
      <c r="BV152" s="167"/>
      <c r="BW152" s="159"/>
      <c r="BX152" s="159"/>
      <c r="BY152" s="159"/>
      <c r="BZ152" s="159"/>
      <c r="CA152" s="159"/>
      <c r="CB152" s="159"/>
      <c r="CC152" s="159"/>
      <c r="CD152" s="159"/>
      <c r="CE152" s="159"/>
      <c r="CF152" s="159"/>
      <c r="CG152" s="159"/>
      <c r="CH152" s="159"/>
      <c r="CI152" s="159"/>
      <c r="CJ152" s="159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59"/>
      <c r="CW152" s="159"/>
      <c r="CX152" s="159"/>
      <c r="CY152" s="134"/>
    </row>
    <row r="153" spans="1:103" ht="12.75" customHeight="1" x14ac:dyDescent="0.3">
      <c r="A153" s="155"/>
      <c r="B153" s="134"/>
      <c r="C153" s="134"/>
      <c r="D153" s="134"/>
      <c r="E153" s="157"/>
      <c r="F153" s="157"/>
      <c r="G153" s="157"/>
      <c r="H153" s="157"/>
      <c r="I153" s="158"/>
      <c r="J153" s="159"/>
      <c r="K153" s="159"/>
      <c r="L153" s="159"/>
      <c r="M153" s="160"/>
      <c r="N153" s="160"/>
      <c r="O153" s="160"/>
      <c r="P153" s="158"/>
      <c r="Q153" s="158"/>
      <c r="R153" s="158"/>
      <c r="S153" s="158"/>
      <c r="T153" s="158"/>
      <c r="U153" s="158"/>
      <c r="V153" s="159"/>
      <c r="W153" s="159"/>
      <c r="X153" s="159"/>
      <c r="Y153" s="158"/>
      <c r="Z153" s="159"/>
      <c r="AA153" s="160"/>
      <c r="AB153" s="160"/>
      <c r="AC153" s="160"/>
      <c r="AD153" s="160"/>
      <c r="AE153" s="160"/>
      <c r="AF153" s="159"/>
      <c r="AG153" s="159"/>
      <c r="AH153" s="159"/>
      <c r="AI153" s="159"/>
      <c r="AJ153" s="159"/>
      <c r="AK153" s="167"/>
      <c r="AL153" s="167"/>
      <c r="AM153" s="167"/>
      <c r="AN153" s="167"/>
      <c r="AO153" s="167"/>
      <c r="AP153" s="167"/>
      <c r="AQ153" s="167"/>
      <c r="AR153" s="167"/>
      <c r="AS153" s="167"/>
      <c r="AT153" s="167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59"/>
      <c r="BX153" s="159"/>
      <c r="BY153" s="159"/>
      <c r="BZ153" s="159"/>
      <c r="CA153" s="159"/>
      <c r="CB153" s="159"/>
      <c r="CC153" s="159"/>
      <c r="CD153" s="159"/>
      <c r="CE153" s="159"/>
      <c r="CF153" s="159"/>
      <c r="CG153" s="159"/>
      <c r="CH153" s="159"/>
      <c r="CI153" s="159"/>
      <c r="CJ153" s="159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59"/>
      <c r="CW153" s="159"/>
      <c r="CX153" s="159"/>
      <c r="CY153" s="134"/>
    </row>
    <row r="154" spans="1:103" ht="12.75" customHeight="1" x14ac:dyDescent="0.3">
      <c r="A154" s="155"/>
      <c r="B154" s="134"/>
      <c r="C154" s="134"/>
      <c r="D154" s="134"/>
      <c r="E154" s="157"/>
      <c r="F154" s="157"/>
      <c r="G154" s="157"/>
      <c r="H154" s="157"/>
      <c r="I154" s="158"/>
      <c r="J154" s="159"/>
      <c r="K154" s="159"/>
      <c r="L154" s="159"/>
      <c r="M154" s="160"/>
      <c r="N154" s="160"/>
      <c r="O154" s="160"/>
      <c r="P154" s="158"/>
      <c r="Q154" s="158"/>
      <c r="R154" s="158"/>
      <c r="S154" s="158"/>
      <c r="T154" s="158"/>
      <c r="U154" s="158"/>
      <c r="V154" s="159"/>
      <c r="W154" s="159"/>
      <c r="X154" s="159"/>
      <c r="Y154" s="158"/>
      <c r="Z154" s="159"/>
      <c r="AA154" s="160"/>
      <c r="AB154" s="160"/>
      <c r="AC154" s="160"/>
      <c r="AD154" s="160"/>
      <c r="AE154" s="160"/>
      <c r="AF154" s="159"/>
      <c r="AG154" s="159"/>
      <c r="AH154" s="159"/>
      <c r="AI154" s="159"/>
      <c r="AJ154" s="159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67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67"/>
      <c r="BQ154" s="167"/>
      <c r="BR154" s="167"/>
      <c r="BS154" s="167"/>
      <c r="BT154" s="167"/>
      <c r="BU154" s="167"/>
      <c r="BV154" s="167"/>
      <c r="BW154" s="159"/>
      <c r="BX154" s="159"/>
      <c r="BY154" s="159"/>
      <c r="BZ154" s="159"/>
      <c r="CA154" s="159"/>
      <c r="CB154" s="159"/>
      <c r="CC154" s="159"/>
      <c r="CD154" s="159"/>
      <c r="CE154" s="159"/>
      <c r="CF154" s="159"/>
      <c r="CG154" s="159"/>
      <c r="CH154" s="159"/>
      <c r="CI154" s="159"/>
      <c r="CJ154" s="159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59"/>
      <c r="CW154" s="159"/>
      <c r="CX154" s="159"/>
      <c r="CY154" s="134"/>
    </row>
    <row r="155" spans="1:103" ht="12.75" customHeight="1" x14ac:dyDescent="0.3">
      <c r="A155" s="155"/>
      <c r="B155" s="134"/>
      <c r="C155" s="134"/>
      <c r="D155" s="134"/>
      <c r="E155" s="157"/>
      <c r="F155" s="157"/>
      <c r="G155" s="157"/>
      <c r="H155" s="157"/>
      <c r="I155" s="158"/>
      <c r="J155" s="159"/>
      <c r="K155" s="159"/>
      <c r="L155" s="159"/>
      <c r="M155" s="160"/>
      <c r="N155" s="160"/>
      <c r="O155" s="160"/>
      <c r="P155" s="158"/>
      <c r="Q155" s="158"/>
      <c r="R155" s="158"/>
      <c r="S155" s="158"/>
      <c r="T155" s="158"/>
      <c r="U155" s="158"/>
      <c r="V155" s="159"/>
      <c r="W155" s="159"/>
      <c r="X155" s="159"/>
      <c r="Y155" s="158"/>
      <c r="Z155" s="159"/>
      <c r="AA155" s="160"/>
      <c r="AB155" s="160"/>
      <c r="AC155" s="160"/>
      <c r="AD155" s="160"/>
      <c r="AE155" s="160"/>
      <c r="AF155" s="159"/>
      <c r="AG155" s="159"/>
      <c r="AH155" s="159"/>
      <c r="AI155" s="159"/>
      <c r="AJ155" s="159"/>
      <c r="AK155" s="167"/>
      <c r="AL155" s="167"/>
      <c r="AM155" s="167"/>
      <c r="AN155" s="167"/>
      <c r="AO155" s="167"/>
      <c r="AP155" s="167"/>
      <c r="AQ155" s="167"/>
      <c r="AR155" s="167"/>
      <c r="AS155" s="167"/>
      <c r="AT155" s="167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67"/>
      <c r="BQ155" s="167"/>
      <c r="BR155" s="167"/>
      <c r="BS155" s="167"/>
      <c r="BT155" s="167"/>
      <c r="BU155" s="167"/>
      <c r="BV155" s="167"/>
      <c r="BW155" s="159"/>
      <c r="BX155" s="159"/>
      <c r="BY155" s="159"/>
      <c r="BZ155" s="159"/>
      <c r="CA155" s="159"/>
      <c r="CB155" s="159"/>
      <c r="CC155" s="159"/>
      <c r="CD155" s="159"/>
      <c r="CE155" s="159"/>
      <c r="CF155" s="159"/>
      <c r="CG155" s="159"/>
      <c r="CH155" s="159"/>
      <c r="CI155" s="159"/>
      <c r="CJ155" s="159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59"/>
      <c r="CW155" s="159"/>
      <c r="CX155" s="159"/>
      <c r="CY155" s="134"/>
    </row>
    <row r="156" spans="1:103" ht="12.75" customHeight="1" x14ac:dyDescent="0.3">
      <c r="A156" s="155"/>
      <c r="B156" s="134"/>
      <c r="C156" s="134"/>
      <c r="D156" s="134"/>
      <c r="E156" s="157"/>
      <c r="F156" s="157"/>
      <c r="G156" s="157"/>
      <c r="H156" s="157"/>
      <c r="I156" s="158"/>
      <c r="J156" s="159"/>
      <c r="K156" s="159"/>
      <c r="L156" s="159"/>
      <c r="M156" s="160"/>
      <c r="N156" s="160"/>
      <c r="O156" s="160"/>
      <c r="P156" s="158"/>
      <c r="Q156" s="158"/>
      <c r="R156" s="158"/>
      <c r="S156" s="158"/>
      <c r="T156" s="158"/>
      <c r="U156" s="158"/>
      <c r="V156" s="159"/>
      <c r="W156" s="159"/>
      <c r="X156" s="159"/>
      <c r="Y156" s="158"/>
      <c r="Z156" s="159"/>
      <c r="AA156" s="160"/>
      <c r="AB156" s="160"/>
      <c r="AC156" s="160"/>
      <c r="AD156" s="160"/>
      <c r="AE156" s="160"/>
      <c r="AF156" s="159"/>
      <c r="AG156" s="159"/>
      <c r="AH156" s="159"/>
      <c r="AI156" s="159"/>
      <c r="AJ156" s="159"/>
      <c r="AK156" s="167"/>
      <c r="AL156" s="167"/>
      <c r="AM156" s="167"/>
      <c r="AN156" s="167"/>
      <c r="AO156" s="167"/>
      <c r="AP156" s="167"/>
      <c r="AQ156" s="167"/>
      <c r="AR156" s="167"/>
      <c r="AS156" s="167"/>
      <c r="AT156" s="167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  <c r="BJ156" s="167"/>
      <c r="BK156" s="167"/>
      <c r="BL156" s="167"/>
      <c r="BM156" s="167"/>
      <c r="BN156" s="167"/>
      <c r="BO156" s="167"/>
      <c r="BP156" s="167"/>
      <c r="BQ156" s="167"/>
      <c r="BR156" s="167"/>
      <c r="BS156" s="167"/>
      <c r="BT156" s="167"/>
      <c r="BU156" s="167"/>
      <c r="BV156" s="167"/>
      <c r="BW156" s="159"/>
      <c r="BX156" s="159"/>
      <c r="BY156" s="159"/>
      <c r="BZ156" s="159"/>
      <c r="CA156" s="159"/>
      <c r="CB156" s="159"/>
      <c r="CC156" s="159"/>
      <c r="CD156" s="159"/>
      <c r="CE156" s="159"/>
      <c r="CF156" s="159"/>
      <c r="CG156" s="159"/>
      <c r="CH156" s="159"/>
      <c r="CI156" s="159"/>
      <c r="CJ156" s="159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59"/>
      <c r="CW156" s="159"/>
      <c r="CX156" s="159"/>
      <c r="CY156" s="134"/>
    </row>
    <row r="157" spans="1:103" ht="12.75" customHeight="1" x14ac:dyDescent="0.3">
      <c r="A157" s="155"/>
      <c r="B157" s="134"/>
      <c r="C157" s="134"/>
      <c r="D157" s="134"/>
      <c r="E157" s="157"/>
      <c r="F157" s="157"/>
      <c r="G157" s="157"/>
      <c r="H157" s="157"/>
      <c r="I157" s="158"/>
      <c r="J157" s="159"/>
      <c r="K157" s="159"/>
      <c r="L157" s="159"/>
      <c r="M157" s="160"/>
      <c r="N157" s="160"/>
      <c r="O157" s="160"/>
      <c r="P157" s="158"/>
      <c r="Q157" s="158"/>
      <c r="R157" s="158"/>
      <c r="S157" s="158"/>
      <c r="T157" s="158"/>
      <c r="U157" s="158"/>
      <c r="V157" s="159"/>
      <c r="W157" s="159"/>
      <c r="X157" s="159"/>
      <c r="Y157" s="158"/>
      <c r="Z157" s="159"/>
      <c r="AA157" s="160"/>
      <c r="AB157" s="160"/>
      <c r="AC157" s="160"/>
      <c r="AD157" s="160"/>
      <c r="AE157" s="160"/>
      <c r="AF157" s="159"/>
      <c r="AG157" s="159"/>
      <c r="AH157" s="159"/>
      <c r="AI157" s="159"/>
      <c r="AJ157" s="159"/>
      <c r="AK157" s="167"/>
      <c r="AL157" s="167"/>
      <c r="AM157" s="167"/>
      <c r="AN157" s="167"/>
      <c r="AO157" s="167"/>
      <c r="AP157" s="167"/>
      <c r="AQ157" s="167"/>
      <c r="AR157" s="167"/>
      <c r="AS157" s="167"/>
      <c r="AT157" s="167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  <c r="BJ157" s="167"/>
      <c r="BK157" s="167"/>
      <c r="BL157" s="167"/>
      <c r="BM157" s="167"/>
      <c r="BN157" s="167"/>
      <c r="BO157" s="167"/>
      <c r="BP157" s="167"/>
      <c r="BQ157" s="167"/>
      <c r="BR157" s="167"/>
      <c r="BS157" s="167"/>
      <c r="BT157" s="167"/>
      <c r="BU157" s="167"/>
      <c r="BV157" s="167"/>
      <c r="BW157" s="159"/>
      <c r="BX157" s="159"/>
      <c r="BY157" s="159"/>
      <c r="BZ157" s="159"/>
      <c r="CA157" s="159"/>
      <c r="CB157" s="159"/>
      <c r="CC157" s="159"/>
      <c r="CD157" s="159"/>
      <c r="CE157" s="159"/>
      <c r="CF157" s="159"/>
      <c r="CG157" s="159"/>
      <c r="CH157" s="159"/>
      <c r="CI157" s="159"/>
      <c r="CJ157" s="159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59"/>
      <c r="CW157" s="159"/>
      <c r="CX157" s="159"/>
      <c r="CY157" s="134"/>
    </row>
    <row r="158" spans="1:103" ht="12.75" customHeight="1" x14ac:dyDescent="0.3">
      <c r="A158" s="155"/>
      <c r="B158" s="134"/>
      <c r="C158" s="134"/>
      <c r="D158" s="134"/>
      <c r="E158" s="157"/>
      <c r="F158" s="157"/>
      <c r="G158" s="157"/>
      <c r="H158" s="157"/>
      <c r="I158" s="158"/>
      <c r="J158" s="159"/>
      <c r="K158" s="159"/>
      <c r="L158" s="159"/>
      <c r="M158" s="160"/>
      <c r="N158" s="160"/>
      <c r="O158" s="160"/>
      <c r="P158" s="158"/>
      <c r="Q158" s="158"/>
      <c r="R158" s="158"/>
      <c r="S158" s="158"/>
      <c r="T158" s="158"/>
      <c r="U158" s="158"/>
      <c r="V158" s="159"/>
      <c r="W158" s="159"/>
      <c r="X158" s="159"/>
      <c r="Y158" s="158"/>
      <c r="Z158" s="159"/>
      <c r="AA158" s="160"/>
      <c r="AB158" s="160"/>
      <c r="AC158" s="160"/>
      <c r="AD158" s="160"/>
      <c r="AE158" s="160"/>
      <c r="AF158" s="159"/>
      <c r="AG158" s="159"/>
      <c r="AH158" s="159"/>
      <c r="AI158" s="159"/>
      <c r="AJ158" s="159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67"/>
      <c r="BM158" s="167"/>
      <c r="BN158" s="167"/>
      <c r="BO158" s="167"/>
      <c r="BP158" s="167"/>
      <c r="BQ158" s="167"/>
      <c r="BR158" s="167"/>
      <c r="BS158" s="167"/>
      <c r="BT158" s="167"/>
      <c r="BU158" s="167"/>
      <c r="BV158" s="167"/>
      <c r="BW158" s="159"/>
      <c r="BX158" s="159"/>
      <c r="BY158" s="159"/>
      <c r="BZ158" s="159"/>
      <c r="CA158" s="159"/>
      <c r="CB158" s="159"/>
      <c r="CC158" s="159"/>
      <c r="CD158" s="159"/>
      <c r="CE158" s="159"/>
      <c r="CF158" s="159"/>
      <c r="CG158" s="159"/>
      <c r="CH158" s="159"/>
      <c r="CI158" s="159"/>
      <c r="CJ158" s="159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59"/>
      <c r="CW158" s="159"/>
      <c r="CX158" s="159"/>
      <c r="CY158" s="134"/>
    </row>
    <row r="159" spans="1:103" ht="12.75" customHeight="1" x14ac:dyDescent="0.3">
      <c r="A159" s="155"/>
      <c r="B159" s="134"/>
      <c r="C159" s="134"/>
      <c r="D159" s="134"/>
      <c r="E159" s="157"/>
      <c r="F159" s="157"/>
      <c r="G159" s="157"/>
      <c r="H159" s="157"/>
      <c r="I159" s="158"/>
      <c r="J159" s="159"/>
      <c r="K159" s="159"/>
      <c r="L159" s="159"/>
      <c r="M159" s="160"/>
      <c r="N159" s="160"/>
      <c r="O159" s="160"/>
      <c r="P159" s="158"/>
      <c r="Q159" s="158"/>
      <c r="R159" s="158"/>
      <c r="S159" s="158"/>
      <c r="T159" s="158"/>
      <c r="U159" s="158"/>
      <c r="V159" s="159"/>
      <c r="W159" s="159"/>
      <c r="X159" s="159"/>
      <c r="Y159" s="158"/>
      <c r="Z159" s="159"/>
      <c r="AA159" s="160"/>
      <c r="AB159" s="160"/>
      <c r="AC159" s="160"/>
      <c r="AD159" s="160"/>
      <c r="AE159" s="160"/>
      <c r="AF159" s="159"/>
      <c r="AG159" s="159"/>
      <c r="AH159" s="159"/>
      <c r="AI159" s="159"/>
      <c r="AJ159" s="159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67"/>
      <c r="BM159" s="167"/>
      <c r="BN159" s="167"/>
      <c r="BO159" s="167"/>
      <c r="BP159" s="167"/>
      <c r="BQ159" s="167"/>
      <c r="BR159" s="167"/>
      <c r="BS159" s="167"/>
      <c r="BT159" s="167"/>
      <c r="BU159" s="167"/>
      <c r="BV159" s="167"/>
      <c r="BW159" s="159"/>
      <c r="BX159" s="159"/>
      <c r="BY159" s="159"/>
      <c r="BZ159" s="159"/>
      <c r="CA159" s="159"/>
      <c r="CB159" s="159"/>
      <c r="CC159" s="159"/>
      <c r="CD159" s="159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59"/>
      <c r="CW159" s="159"/>
      <c r="CX159" s="159"/>
      <c r="CY159" s="134"/>
    </row>
    <row r="160" spans="1:103" ht="12.75" customHeight="1" x14ac:dyDescent="0.3">
      <c r="A160" s="155"/>
      <c r="B160" s="134"/>
      <c r="C160" s="134"/>
      <c r="D160" s="134"/>
      <c r="E160" s="157"/>
      <c r="F160" s="157"/>
      <c r="G160" s="157"/>
      <c r="H160" s="157"/>
      <c r="I160" s="158"/>
      <c r="J160" s="159"/>
      <c r="K160" s="159"/>
      <c r="L160" s="159"/>
      <c r="M160" s="160"/>
      <c r="N160" s="160"/>
      <c r="O160" s="160"/>
      <c r="P160" s="158"/>
      <c r="Q160" s="158"/>
      <c r="R160" s="158"/>
      <c r="S160" s="158"/>
      <c r="T160" s="158"/>
      <c r="U160" s="158"/>
      <c r="V160" s="159"/>
      <c r="W160" s="159"/>
      <c r="X160" s="159"/>
      <c r="Y160" s="158"/>
      <c r="Z160" s="159"/>
      <c r="AA160" s="160"/>
      <c r="AB160" s="160"/>
      <c r="AC160" s="160"/>
      <c r="AD160" s="160"/>
      <c r="AE160" s="160"/>
      <c r="AF160" s="159"/>
      <c r="AG160" s="159"/>
      <c r="AH160" s="159"/>
      <c r="AI160" s="159"/>
      <c r="AJ160" s="159"/>
      <c r="AK160" s="167"/>
      <c r="AL160" s="167"/>
      <c r="AM160" s="167"/>
      <c r="AN160" s="167"/>
      <c r="AO160" s="167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67"/>
      <c r="BM160" s="167"/>
      <c r="BN160" s="167"/>
      <c r="BO160" s="167"/>
      <c r="BP160" s="167"/>
      <c r="BQ160" s="167"/>
      <c r="BR160" s="167"/>
      <c r="BS160" s="167"/>
      <c r="BT160" s="167"/>
      <c r="BU160" s="167"/>
      <c r="BV160" s="167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59"/>
      <c r="CW160" s="159"/>
      <c r="CX160" s="159"/>
      <c r="CY160" s="134"/>
    </row>
    <row r="161" spans="1:103" ht="12.75" customHeight="1" x14ac:dyDescent="0.3">
      <c r="A161" s="155"/>
      <c r="B161" s="134"/>
      <c r="C161" s="134"/>
      <c r="D161" s="134"/>
      <c r="E161" s="157"/>
      <c r="F161" s="157"/>
      <c r="G161" s="157"/>
      <c r="H161" s="157"/>
      <c r="I161" s="158"/>
      <c r="J161" s="159"/>
      <c r="K161" s="159"/>
      <c r="L161" s="159"/>
      <c r="M161" s="160"/>
      <c r="N161" s="160"/>
      <c r="O161" s="160"/>
      <c r="P161" s="158"/>
      <c r="Q161" s="158"/>
      <c r="R161" s="158"/>
      <c r="S161" s="158"/>
      <c r="T161" s="158"/>
      <c r="U161" s="158"/>
      <c r="V161" s="159"/>
      <c r="W161" s="159"/>
      <c r="X161" s="159"/>
      <c r="Y161" s="158"/>
      <c r="Z161" s="159"/>
      <c r="AA161" s="160"/>
      <c r="AB161" s="160"/>
      <c r="AC161" s="160"/>
      <c r="AD161" s="160"/>
      <c r="AE161" s="160"/>
      <c r="AF161" s="159"/>
      <c r="AG161" s="159"/>
      <c r="AH161" s="159"/>
      <c r="AI161" s="159"/>
      <c r="AJ161" s="159"/>
      <c r="AK161" s="167"/>
      <c r="AL161" s="167"/>
      <c r="AM161" s="167"/>
      <c r="AN161" s="167"/>
      <c r="AO161" s="167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67"/>
      <c r="BM161" s="167"/>
      <c r="BN161" s="167"/>
      <c r="BO161" s="167"/>
      <c r="BP161" s="167"/>
      <c r="BQ161" s="167"/>
      <c r="BR161" s="167"/>
      <c r="BS161" s="167"/>
      <c r="BT161" s="167"/>
      <c r="BU161" s="167"/>
      <c r="BV161" s="167"/>
      <c r="BW161" s="159"/>
      <c r="BX161" s="159"/>
      <c r="BY161" s="159"/>
      <c r="BZ161" s="159"/>
      <c r="CA161" s="159"/>
      <c r="CB161" s="159"/>
      <c r="CC161" s="159"/>
      <c r="CD161" s="159"/>
      <c r="CE161" s="159"/>
      <c r="CF161" s="159"/>
      <c r="CG161" s="159"/>
      <c r="CH161" s="159"/>
      <c r="CI161" s="159"/>
      <c r="CJ161" s="159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59"/>
      <c r="CW161" s="159"/>
      <c r="CX161" s="159"/>
      <c r="CY161" s="134"/>
    </row>
    <row r="162" spans="1:103" ht="12.75" customHeight="1" x14ac:dyDescent="0.3">
      <c r="A162" s="155"/>
      <c r="B162" s="134"/>
      <c r="C162" s="134"/>
      <c r="D162" s="134"/>
      <c r="E162" s="157"/>
      <c r="F162" s="157"/>
      <c r="G162" s="157"/>
      <c r="H162" s="157"/>
      <c r="I162" s="158"/>
      <c r="J162" s="159"/>
      <c r="K162" s="159"/>
      <c r="L162" s="159"/>
      <c r="M162" s="160"/>
      <c r="N162" s="160"/>
      <c r="O162" s="160"/>
      <c r="P162" s="158"/>
      <c r="Q162" s="158"/>
      <c r="R162" s="158"/>
      <c r="S162" s="158"/>
      <c r="T162" s="158"/>
      <c r="U162" s="158"/>
      <c r="V162" s="159"/>
      <c r="W162" s="159"/>
      <c r="X162" s="159"/>
      <c r="Y162" s="158"/>
      <c r="Z162" s="159"/>
      <c r="AA162" s="160"/>
      <c r="AB162" s="160"/>
      <c r="AC162" s="160"/>
      <c r="AD162" s="160"/>
      <c r="AE162" s="160"/>
      <c r="AF162" s="159"/>
      <c r="AG162" s="159"/>
      <c r="AH162" s="159"/>
      <c r="AI162" s="159"/>
      <c r="AJ162" s="159"/>
      <c r="AK162" s="167"/>
      <c r="AL162" s="167"/>
      <c r="AM162" s="167"/>
      <c r="AN162" s="167"/>
      <c r="AO162" s="167"/>
      <c r="AP162" s="167"/>
      <c r="AQ162" s="167"/>
      <c r="AR162" s="167"/>
      <c r="AS162" s="167"/>
      <c r="AT162" s="167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  <c r="BJ162" s="167"/>
      <c r="BK162" s="167"/>
      <c r="BL162" s="167"/>
      <c r="BM162" s="167"/>
      <c r="BN162" s="167"/>
      <c r="BO162" s="167"/>
      <c r="BP162" s="167"/>
      <c r="BQ162" s="167"/>
      <c r="BR162" s="167"/>
      <c r="BS162" s="167"/>
      <c r="BT162" s="167"/>
      <c r="BU162" s="167"/>
      <c r="BV162" s="167"/>
      <c r="BW162" s="159"/>
      <c r="BX162" s="159"/>
      <c r="BY162" s="159"/>
      <c r="BZ162" s="159"/>
      <c r="CA162" s="159"/>
      <c r="CB162" s="159"/>
      <c r="CC162" s="159"/>
      <c r="CD162" s="159"/>
      <c r="CE162" s="159"/>
      <c r="CF162" s="159"/>
      <c r="CG162" s="159"/>
      <c r="CH162" s="159"/>
      <c r="CI162" s="159"/>
      <c r="CJ162" s="159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59"/>
      <c r="CW162" s="159"/>
      <c r="CX162" s="159"/>
      <c r="CY162" s="134"/>
    </row>
    <row r="163" spans="1:103" ht="12.75" customHeight="1" x14ac:dyDescent="0.3">
      <c r="A163" s="155"/>
      <c r="B163" s="134"/>
      <c r="C163" s="134"/>
      <c r="D163" s="134"/>
      <c r="E163" s="157"/>
      <c r="F163" s="157"/>
      <c r="G163" s="157"/>
      <c r="H163" s="157"/>
      <c r="I163" s="158"/>
      <c r="J163" s="159"/>
      <c r="K163" s="159"/>
      <c r="L163" s="159"/>
      <c r="M163" s="160"/>
      <c r="N163" s="160"/>
      <c r="O163" s="160"/>
      <c r="P163" s="158"/>
      <c r="Q163" s="158"/>
      <c r="R163" s="158"/>
      <c r="S163" s="158"/>
      <c r="T163" s="158"/>
      <c r="U163" s="158"/>
      <c r="V163" s="159"/>
      <c r="W163" s="159"/>
      <c r="X163" s="159"/>
      <c r="Y163" s="158"/>
      <c r="Z163" s="159"/>
      <c r="AA163" s="160"/>
      <c r="AB163" s="160"/>
      <c r="AC163" s="160"/>
      <c r="AD163" s="160"/>
      <c r="AE163" s="160"/>
      <c r="AF163" s="159"/>
      <c r="AG163" s="159"/>
      <c r="AH163" s="159"/>
      <c r="AI163" s="159"/>
      <c r="AJ163" s="159"/>
      <c r="AK163" s="167"/>
      <c r="AL163" s="167"/>
      <c r="AM163" s="167"/>
      <c r="AN163" s="167"/>
      <c r="AO163" s="167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67"/>
      <c r="BQ163" s="167"/>
      <c r="BR163" s="167"/>
      <c r="BS163" s="167"/>
      <c r="BT163" s="167"/>
      <c r="BU163" s="167"/>
      <c r="BV163" s="167"/>
      <c r="BW163" s="159"/>
      <c r="BX163" s="159"/>
      <c r="BY163" s="159"/>
      <c r="BZ163" s="159"/>
      <c r="CA163" s="159"/>
      <c r="CB163" s="159"/>
      <c r="CC163" s="159"/>
      <c r="CD163" s="159"/>
      <c r="CE163" s="159"/>
      <c r="CF163" s="159"/>
      <c r="CG163" s="159"/>
      <c r="CH163" s="159"/>
      <c r="CI163" s="159"/>
      <c r="CJ163" s="159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159"/>
      <c r="CV163" s="159"/>
      <c r="CW163" s="159"/>
      <c r="CX163" s="159"/>
      <c r="CY163" s="134"/>
    </row>
    <row r="164" spans="1:103" ht="12.75" customHeight="1" x14ac:dyDescent="0.3">
      <c r="A164" s="155"/>
      <c r="B164" s="134"/>
      <c r="C164" s="134"/>
      <c r="D164" s="134"/>
      <c r="E164" s="157"/>
      <c r="F164" s="157"/>
      <c r="G164" s="157"/>
      <c r="H164" s="157"/>
      <c r="I164" s="158"/>
      <c r="J164" s="159"/>
      <c r="K164" s="159"/>
      <c r="L164" s="159"/>
      <c r="M164" s="160"/>
      <c r="N164" s="160"/>
      <c r="O164" s="160"/>
      <c r="P164" s="158"/>
      <c r="Q164" s="158"/>
      <c r="R164" s="158"/>
      <c r="S164" s="158"/>
      <c r="T164" s="158"/>
      <c r="U164" s="158"/>
      <c r="V164" s="159"/>
      <c r="W164" s="159"/>
      <c r="X164" s="159"/>
      <c r="Y164" s="158"/>
      <c r="Z164" s="159"/>
      <c r="AA164" s="160"/>
      <c r="AB164" s="160"/>
      <c r="AC164" s="160"/>
      <c r="AD164" s="160"/>
      <c r="AE164" s="160"/>
      <c r="AF164" s="159"/>
      <c r="AG164" s="159"/>
      <c r="AH164" s="159"/>
      <c r="AI164" s="159"/>
      <c r="AJ164" s="159"/>
      <c r="AK164" s="167"/>
      <c r="AL164" s="167"/>
      <c r="AM164" s="167"/>
      <c r="AN164" s="167"/>
      <c r="AO164" s="167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  <c r="BJ164" s="167"/>
      <c r="BK164" s="167"/>
      <c r="BL164" s="167"/>
      <c r="BM164" s="167"/>
      <c r="BN164" s="167"/>
      <c r="BO164" s="167"/>
      <c r="BP164" s="167"/>
      <c r="BQ164" s="167"/>
      <c r="BR164" s="167"/>
      <c r="BS164" s="167"/>
      <c r="BT164" s="167"/>
      <c r="BU164" s="167"/>
      <c r="BV164" s="167"/>
      <c r="BW164" s="159"/>
      <c r="BX164" s="159"/>
      <c r="BY164" s="159"/>
      <c r="BZ164" s="159"/>
      <c r="CA164" s="159"/>
      <c r="CB164" s="159"/>
      <c r="CC164" s="159"/>
      <c r="CD164" s="159"/>
      <c r="CE164" s="159"/>
      <c r="CF164" s="159"/>
      <c r="CG164" s="159"/>
      <c r="CH164" s="159"/>
      <c r="CI164" s="159"/>
      <c r="CJ164" s="159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159"/>
      <c r="CV164" s="159"/>
      <c r="CW164" s="159"/>
      <c r="CX164" s="159"/>
      <c r="CY164" s="134"/>
    </row>
    <row r="165" spans="1:103" ht="12.75" customHeight="1" x14ac:dyDescent="0.3">
      <c r="A165" s="155"/>
      <c r="B165" s="134"/>
      <c r="C165" s="134"/>
      <c r="D165" s="134"/>
      <c r="E165" s="157"/>
      <c r="F165" s="157"/>
      <c r="G165" s="157"/>
      <c r="H165" s="157"/>
      <c r="I165" s="158"/>
      <c r="J165" s="159"/>
      <c r="K165" s="159"/>
      <c r="L165" s="159"/>
      <c r="M165" s="160"/>
      <c r="N165" s="160"/>
      <c r="O165" s="160"/>
      <c r="P165" s="158"/>
      <c r="Q165" s="158"/>
      <c r="R165" s="158"/>
      <c r="S165" s="158"/>
      <c r="T165" s="158"/>
      <c r="U165" s="158"/>
      <c r="V165" s="159"/>
      <c r="W165" s="159"/>
      <c r="X165" s="159"/>
      <c r="Y165" s="158"/>
      <c r="Z165" s="159"/>
      <c r="AA165" s="160"/>
      <c r="AB165" s="160"/>
      <c r="AC165" s="160"/>
      <c r="AD165" s="160"/>
      <c r="AE165" s="160"/>
      <c r="AF165" s="159"/>
      <c r="AG165" s="159"/>
      <c r="AH165" s="159"/>
      <c r="AI165" s="159"/>
      <c r="AJ165" s="159"/>
      <c r="AK165" s="167"/>
      <c r="AL165" s="167"/>
      <c r="AM165" s="167"/>
      <c r="AN165" s="167"/>
      <c r="AO165" s="167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  <c r="BJ165" s="167"/>
      <c r="BK165" s="167"/>
      <c r="BL165" s="167"/>
      <c r="BM165" s="167"/>
      <c r="BN165" s="167"/>
      <c r="BO165" s="167"/>
      <c r="BP165" s="167"/>
      <c r="BQ165" s="167"/>
      <c r="BR165" s="167"/>
      <c r="BS165" s="167"/>
      <c r="BT165" s="167"/>
      <c r="BU165" s="167"/>
      <c r="BV165" s="167"/>
      <c r="BW165" s="159"/>
      <c r="BX165" s="159"/>
      <c r="BY165" s="159"/>
      <c r="BZ165" s="159"/>
      <c r="CA165" s="159"/>
      <c r="CB165" s="159"/>
      <c r="CC165" s="159"/>
      <c r="CD165" s="159"/>
      <c r="CE165" s="159"/>
      <c r="CF165" s="159"/>
      <c r="CG165" s="159"/>
      <c r="CH165" s="159"/>
      <c r="CI165" s="159"/>
      <c r="CJ165" s="159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159"/>
      <c r="CV165" s="159"/>
      <c r="CW165" s="159"/>
      <c r="CX165" s="159"/>
      <c r="CY165" s="134"/>
    </row>
    <row r="166" spans="1:103" ht="12.75" customHeight="1" x14ac:dyDescent="0.3">
      <c r="A166" s="155"/>
      <c r="B166" s="134"/>
      <c r="C166" s="134"/>
      <c r="D166" s="134"/>
      <c r="E166" s="157"/>
      <c r="F166" s="157"/>
      <c r="G166" s="157"/>
      <c r="H166" s="157"/>
      <c r="I166" s="158"/>
      <c r="J166" s="159"/>
      <c r="K166" s="159"/>
      <c r="L166" s="159"/>
      <c r="M166" s="160"/>
      <c r="N166" s="160"/>
      <c r="O166" s="160"/>
      <c r="P166" s="158"/>
      <c r="Q166" s="158"/>
      <c r="R166" s="158"/>
      <c r="S166" s="158"/>
      <c r="T166" s="158"/>
      <c r="U166" s="158"/>
      <c r="V166" s="159"/>
      <c r="W166" s="159"/>
      <c r="X166" s="159"/>
      <c r="Y166" s="158"/>
      <c r="Z166" s="159"/>
      <c r="AA166" s="160"/>
      <c r="AB166" s="160"/>
      <c r="AC166" s="160"/>
      <c r="AD166" s="160"/>
      <c r="AE166" s="160"/>
      <c r="AF166" s="159"/>
      <c r="AG166" s="159"/>
      <c r="AH166" s="159"/>
      <c r="AI166" s="159"/>
      <c r="AJ166" s="159"/>
      <c r="AK166" s="167"/>
      <c r="AL166" s="167"/>
      <c r="AM166" s="167"/>
      <c r="AN166" s="167"/>
      <c r="AO166" s="167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  <c r="BJ166" s="167"/>
      <c r="BK166" s="167"/>
      <c r="BL166" s="167"/>
      <c r="BM166" s="167"/>
      <c r="BN166" s="167"/>
      <c r="BO166" s="167"/>
      <c r="BP166" s="167"/>
      <c r="BQ166" s="167"/>
      <c r="BR166" s="167"/>
      <c r="BS166" s="167"/>
      <c r="BT166" s="167"/>
      <c r="BU166" s="167"/>
      <c r="BV166" s="167"/>
      <c r="BW166" s="159"/>
      <c r="BX166" s="159"/>
      <c r="BY166" s="159"/>
      <c r="BZ166" s="159"/>
      <c r="CA166" s="159"/>
      <c r="CB166" s="159"/>
      <c r="CC166" s="159"/>
      <c r="CD166" s="159"/>
      <c r="CE166" s="159"/>
      <c r="CF166" s="159"/>
      <c r="CG166" s="159"/>
      <c r="CH166" s="159"/>
      <c r="CI166" s="159"/>
      <c r="CJ166" s="159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159"/>
      <c r="CV166" s="159"/>
      <c r="CW166" s="159"/>
      <c r="CX166" s="159"/>
      <c r="CY166" s="134"/>
    </row>
    <row r="167" spans="1:103" ht="12.75" customHeight="1" x14ac:dyDescent="0.3">
      <c r="A167" s="155"/>
      <c r="B167" s="134"/>
      <c r="C167" s="134"/>
      <c r="D167" s="134"/>
      <c r="E167" s="157"/>
      <c r="F167" s="157"/>
      <c r="G167" s="157"/>
      <c r="H167" s="157"/>
      <c r="I167" s="158"/>
      <c r="J167" s="159"/>
      <c r="K167" s="159"/>
      <c r="L167" s="159"/>
      <c r="M167" s="160"/>
      <c r="N167" s="160"/>
      <c r="O167" s="160"/>
      <c r="P167" s="158"/>
      <c r="Q167" s="158"/>
      <c r="R167" s="158"/>
      <c r="S167" s="158"/>
      <c r="T167" s="158"/>
      <c r="U167" s="158"/>
      <c r="V167" s="159"/>
      <c r="W167" s="159"/>
      <c r="X167" s="159"/>
      <c r="Y167" s="158"/>
      <c r="Z167" s="159"/>
      <c r="AA167" s="160"/>
      <c r="AB167" s="160"/>
      <c r="AC167" s="160"/>
      <c r="AD167" s="160"/>
      <c r="AE167" s="160"/>
      <c r="AF167" s="159"/>
      <c r="AG167" s="159"/>
      <c r="AH167" s="159"/>
      <c r="AI167" s="159"/>
      <c r="AJ167" s="159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  <c r="BJ167" s="167"/>
      <c r="BK167" s="167"/>
      <c r="BL167" s="167"/>
      <c r="BM167" s="167"/>
      <c r="BN167" s="167"/>
      <c r="BO167" s="167"/>
      <c r="BP167" s="167"/>
      <c r="BQ167" s="167"/>
      <c r="BR167" s="167"/>
      <c r="BS167" s="167"/>
      <c r="BT167" s="167"/>
      <c r="BU167" s="167"/>
      <c r="BV167" s="167"/>
      <c r="BW167" s="159"/>
      <c r="BX167" s="159"/>
      <c r="BY167" s="159"/>
      <c r="BZ167" s="159"/>
      <c r="CA167" s="159"/>
      <c r="CB167" s="159"/>
      <c r="CC167" s="159"/>
      <c r="CD167" s="159"/>
      <c r="CE167" s="159"/>
      <c r="CF167" s="159"/>
      <c r="CG167" s="159"/>
      <c r="CH167" s="159"/>
      <c r="CI167" s="159"/>
      <c r="CJ167" s="159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159"/>
      <c r="CV167" s="159"/>
      <c r="CW167" s="159"/>
      <c r="CX167" s="159"/>
      <c r="CY167" s="134"/>
    </row>
    <row r="168" spans="1:103" ht="12.75" customHeight="1" x14ac:dyDescent="0.3">
      <c r="A168" s="155"/>
      <c r="B168" s="134"/>
      <c r="C168" s="134"/>
      <c r="D168" s="134"/>
      <c r="E168" s="157"/>
      <c r="F168" s="157"/>
      <c r="G168" s="157"/>
      <c r="H168" s="157"/>
      <c r="I168" s="158"/>
      <c r="J168" s="159"/>
      <c r="K168" s="159"/>
      <c r="L168" s="159"/>
      <c r="M168" s="160"/>
      <c r="N168" s="160"/>
      <c r="O168" s="160"/>
      <c r="P168" s="158"/>
      <c r="Q168" s="158"/>
      <c r="R168" s="158"/>
      <c r="S168" s="158"/>
      <c r="T168" s="158"/>
      <c r="U168" s="158"/>
      <c r="V168" s="159"/>
      <c r="W168" s="159"/>
      <c r="X168" s="159"/>
      <c r="Y168" s="158"/>
      <c r="Z168" s="159"/>
      <c r="AA168" s="160"/>
      <c r="AB168" s="160"/>
      <c r="AC168" s="160"/>
      <c r="AD168" s="160"/>
      <c r="AE168" s="160"/>
      <c r="AF168" s="159"/>
      <c r="AG168" s="159"/>
      <c r="AH168" s="159"/>
      <c r="AI168" s="159"/>
      <c r="AJ168" s="159"/>
      <c r="AK168" s="167"/>
      <c r="AL168" s="167"/>
      <c r="AM168" s="167"/>
      <c r="AN168" s="167"/>
      <c r="AO168" s="167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67"/>
      <c r="BM168" s="167"/>
      <c r="BN168" s="167"/>
      <c r="BO168" s="167"/>
      <c r="BP168" s="167"/>
      <c r="BQ168" s="167"/>
      <c r="BR168" s="167"/>
      <c r="BS168" s="167"/>
      <c r="BT168" s="167"/>
      <c r="BU168" s="167"/>
      <c r="BV168" s="167"/>
      <c r="BW168" s="159"/>
      <c r="BX168" s="159"/>
      <c r="BY168" s="159"/>
      <c r="BZ168" s="159"/>
      <c r="CA168" s="159"/>
      <c r="CB168" s="159"/>
      <c r="CC168" s="159"/>
      <c r="CD168" s="159"/>
      <c r="CE168" s="159"/>
      <c r="CF168" s="159"/>
      <c r="CG168" s="159"/>
      <c r="CH168" s="159"/>
      <c r="CI168" s="159"/>
      <c r="CJ168" s="159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159"/>
      <c r="CV168" s="159"/>
      <c r="CW168" s="159"/>
      <c r="CX168" s="159"/>
      <c r="CY168" s="134"/>
    </row>
    <row r="169" spans="1:103" ht="12.75" customHeight="1" x14ac:dyDescent="0.3">
      <c r="A169" s="155"/>
      <c r="B169" s="134"/>
      <c r="C169" s="134"/>
      <c r="D169" s="134"/>
      <c r="E169" s="157"/>
      <c r="F169" s="157"/>
      <c r="G169" s="157"/>
      <c r="H169" s="157"/>
      <c r="I169" s="158"/>
      <c r="J169" s="159"/>
      <c r="K169" s="159"/>
      <c r="L169" s="159"/>
      <c r="M169" s="160"/>
      <c r="N169" s="160"/>
      <c r="O169" s="160"/>
      <c r="P169" s="158"/>
      <c r="Q169" s="158"/>
      <c r="R169" s="158"/>
      <c r="S169" s="158"/>
      <c r="T169" s="158"/>
      <c r="U169" s="158"/>
      <c r="V169" s="159"/>
      <c r="W169" s="159"/>
      <c r="X169" s="159"/>
      <c r="Y169" s="158"/>
      <c r="Z169" s="159"/>
      <c r="AA169" s="160"/>
      <c r="AB169" s="160"/>
      <c r="AC169" s="160"/>
      <c r="AD169" s="160"/>
      <c r="AE169" s="160"/>
      <c r="AF169" s="159"/>
      <c r="AG169" s="159"/>
      <c r="AH169" s="159"/>
      <c r="AI169" s="159"/>
      <c r="AJ169" s="159"/>
      <c r="AK169" s="167"/>
      <c r="AL169" s="167"/>
      <c r="AM169" s="167"/>
      <c r="AN169" s="167"/>
      <c r="AO169" s="167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67"/>
      <c r="BM169" s="167"/>
      <c r="BN169" s="167"/>
      <c r="BO169" s="167"/>
      <c r="BP169" s="167"/>
      <c r="BQ169" s="167"/>
      <c r="BR169" s="167"/>
      <c r="BS169" s="167"/>
      <c r="BT169" s="167"/>
      <c r="BU169" s="167"/>
      <c r="BV169" s="167"/>
      <c r="BW169" s="159"/>
      <c r="BX169" s="159"/>
      <c r="BY169" s="159"/>
      <c r="BZ169" s="159"/>
      <c r="CA169" s="159"/>
      <c r="CB169" s="159"/>
      <c r="CC169" s="159"/>
      <c r="CD169" s="159"/>
      <c r="CE169" s="159"/>
      <c r="CF169" s="159"/>
      <c r="CG169" s="159"/>
      <c r="CH169" s="159"/>
      <c r="CI169" s="159"/>
      <c r="CJ169" s="159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59"/>
      <c r="CW169" s="159"/>
      <c r="CX169" s="159"/>
      <c r="CY169" s="134"/>
    </row>
    <row r="170" spans="1:103" ht="12.75" customHeight="1" x14ac:dyDescent="0.3">
      <c r="A170" s="155"/>
      <c r="B170" s="134"/>
      <c r="C170" s="134"/>
      <c r="D170" s="134"/>
      <c r="E170" s="157"/>
      <c r="F170" s="157"/>
      <c r="G170" s="157"/>
      <c r="H170" s="157"/>
      <c r="I170" s="158"/>
      <c r="J170" s="159"/>
      <c r="K170" s="159"/>
      <c r="L170" s="159"/>
      <c r="M170" s="160"/>
      <c r="N170" s="160"/>
      <c r="O170" s="160"/>
      <c r="P170" s="158"/>
      <c r="Q170" s="158"/>
      <c r="R170" s="158"/>
      <c r="S170" s="158"/>
      <c r="T170" s="158"/>
      <c r="U170" s="158"/>
      <c r="V170" s="159"/>
      <c r="W170" s="159"/>
      <c r="X170" s="159"/>
      <c r="Y170" s="158"/>
      <c r="Z170" s="159"/>
      <c r="AA170" s="160"/>
      <c r="AB170" s="160"/>
      <c r="AC170" s="160"/>
      <c r="AD170" s="160"/>
      <c r="AE170" s="160"/>
      <c r="AF170" s="159"/>
      <c r="AG170" s="159"/>
      <c r="AH170" s="159"/>
      <c r="AI170" s="159"/>
      <c r="AJ170" s="159"/>
      <c r="AK170" s="167"/>
      <c r="AL170" s="167"/>
      <c r="AM170" s="167"/>
      <c r="AN170" s="167"/>
      <c r="AO170" s="167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67"/>
      <c r="BM170" s="167"/>
      <c r="BN170" s="167"/>
      <c r="BO170" s="167"/>
      <c r="BP170" s="167"/>
      <c r="BQ170" s="167"/>
      <c r="BR170" s="167"/>
      <c r="BS170" s="167"/>
      <c r="BT170" s="167"/>
      <c r="BU170" s="167"/>
      <c r="BV170" s="167"/>
      <c r="BW170" s="159"/>
      <c r="BX170" s="159"/>
      <c r="BY170" s="159"/>
      <c r="BZ170" s="159"/>
      <c r="CA170" s="159"/>
      <c r="CB170" s="159"/>
      <c r="CC170" s="159"/>
      <c r="CD170" s="159"/>
      <c r="CE170" s="159"/>
      <c r="CF170" s="159"/>
      <c r="CG170" s="159"/>
      <c r="CH170" s="159"/>
      <c r="CI170" s="159"/>
      <c r="CJ170" s="159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159"/>
      <c r="CV170" s="159"/>
      <c r="CW170" s="159"/>
      <c r="CX170" s="159"/>
      <c r="CY170" s="134"/>
    </row>
    <row r="171" spans="1:103" ht="12.75" customHeight="1" x14ac:dyDescent="0.3">
      <c r="A171" s="155"/>
      <c r="B171" s="134"/>
      <c r="C171" s="134"/>
      <c r="D171" s="134"/>
      <c r="E171" s="157"/>
      <c r="F171" s="157"/>
      <c r="G171" s="157"/>
      <c r="H171" s="157"/>
      <c r="I171" s="158"/>
      <c r="J171" s="159"/>
      <c r="K171" s="159"/>
      <c r="L171" s="159"/>
      <c r="M171" s="160"/>
      <c r="N171" s="160"/>
      <c r="O171" s="160"/>
      <c r="P171" s="158"/>
      <c r="Q171" s="158"/>
      <c r="R171" s="158"/>
      <c r="S171" s="158"/>
      <c r="T171" s="158"/>
      <c r="U171" s="158"/>
      <c r="V171" s="159"/>
      <c r="W171" s="159"/>
      <c r="X171" s="159"/>
      <c r="Y171" s="158"/>
      <c r="Z171" s="159"/>
      <c r="AA171" s="160"/>
      <c r="AB171" s="160"/>
      <c r="AC171" s="160"/>
      <c r="AD171" s="160"/>
      <c r="AE171" s="160"/>
      <c r="AF171" s="159"/>
      <c r="AG171" s="159"/>
      <c r="AH171" s="159"/>
      <c r="AI171" s="159"/>
      <c r="AJ171" s="159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67"/>
      <c r="BM171" s="167"/>
      <c r="BN171" s="167"/>
      <c r="BO171" s="167"/>
      <c r="BP171" s="167"/>
      <c r="BQ171" s="167"/>
      <c r="BR171" s="167"/>
      <c r="BS171" s="167"/>
      <c r="BT171" s="167"/>
      <c r="BU171" s="167"/>
      <c r="BV171" s="167"/>
      <c r="BW171" s="159"/>
      <c r="BX171" s="159"/>
      <c r="BY171" s="159"/>
      <c r="BZ171" s="159"/>
      <c r="CA171" s="159"/>
      <c r="CB171" s="159"/>
      <c r="CC171" s="159"/>
      <c r="CD171" s="159"/>
      <c r="CE171" s="159"/>
      <c r="CF171" s="159"/>
      <c r="CG171" s="159"/>
      <c r="CH171" s="159"/>
      <c r="CI171" s="159"/>
      <c r="CJ171" s="159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159"/>
      <c r="CV171" s="159"/>
      <c r="CW171" s="159"/>
      <c r="CX171" s="159"/>
      <c r="CY171" s="134"/>
    </row>
    <row r="172" spans="1:103" ht="12.75" customHeight="1" x14ac:dyDescent="0.3">
      <c r="A172" s="155"/>
      <c r="B172" s="134"/>
      <c r="C172" s="134"/>
      <c r="D172" s="134"/>
      <c r="E172" s="157"/>
      <c r="F172" s="157"/>
      <c r="G172" s="157"/>
      <c r="H172" s="157"/>
      <c r="I172" s="158"/>
      <c r="J172" s="159"/>
      <c r="K172" s="159"/>
      <c r="L172" s="159"/>
      <c r="M172" s="160"/>
      <c r="N172" s="160"/>
      <c r="O172" s="160"/>
      <c r="P172" s="158"/>
      <c r="Q172" s="158"/>
      <c r="R172" s="158"/>
      <c r="S172" s="158"/>
      <c r="T172" s="158"/>
      <c r="U172" s="158"/>
      <c r="V172" s="159"/>
      <c r="W172" s="159"/>
      <c r="X172" s="159"/>
      <c r="Y172" s="158"/>
      <c r="Z172" s="159"/>
      <c r="AA172" s="160"/>
      <c r="AB172" s="160"/>
      <c r="AC172" s="160"/>
      <c r="AD172" s="160"/>
      <c r="AE172" s="160"/>
      <c r="AF172" s="159"/>
      <c r="AG172" s="159"/>
      <c r="AH172" s="159"/>
      <c r="AI172" s="159"/>
      <c r="AJ172" s="159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67"/>
      <c r="BM172" s="167"/>
      <c r="BN172" s="167"/>
      <c r="BO172" s="167"/>
      <c r="BP172" s="167"/>
      <c r="BQ172" s="167"/>
      <c r="BR172" s="167"/>
      <c r="BS172" s="167"/>
      <c r="BT172" s="167"/>
      <c r="BU172" s="167"/>
      <c r="BV172" s="167"/>
      <c r="BW172" s="159"/>
      <c r="BX172" s="159"/>
      <c r="BY172" s="159"/>
      <c r="BZ172" s="159"/>
      <c r="CA172" s="159"/>
      <c r="CB172" s="159"/>
      <c r="CC172" s="159"/>
      <c r="CD172" s="159"/>
      <c r="CE172" s="159"/>
      <c r="CF172" s="159"/>
      <c r="CG172" s="159"/>
      <c r="CH172" s="159"/>
      <c r="CI172" s="159"/>
      <c r="CJ172" s="159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159"/>
      <c r="CV172" s="159"/>
      <c r="CW172" s="159"/>
      <c r="CX172" s="159"/>
      <c r="CY172" s="134"/>
    </row>
    <row r="173" spans="1:103" ht="12.75" customHeight="1" x14ac:dyDescent="0.3">
      <c r="A173" s="155"/>
      <c r="B173" s="134"/>
      <c r="C173" s="134"/>
      <c r="D173" s="134"/>
      <c r="E173" s="157"/>
      <c r="F173" s="157"/>
      <c r="G173" s="157"/>
      <c r="H173" s="157"/>
      <c r="I173" s="158"/>
      <c r="J173" s="159"/>
      <c r="K173" s="159"/>
      <c r="L173" s="159"/>
      <c r="M173" s="160"/>
      <c r="N173" s="160"/>
      <c r="O173" s="160"/>
      <c r="P173" s="158"/>
      <c r="Q173" s="158"/>
      <c r="R173" s="158"/>
      <c r="S173" s="158"/>
      <c r="T173" s="158"/>
      <c r="U173" s="158"/>
      <c r="V173" s="159"/>
      <c r="W173" s="159"/>
      <c r="X173" s="159"/>
      <c r="Y173" s="158"/>
      <c r="Z173" s="159"/>
      <c r="AA173" s="160"/>
      <c r="AB173" s="160"/>
      <c r="AC173" s="160"/>
      <c r="AD173" s="160"/>
      <c r="AE173" s="160"/>
      <c r="AF173" s="159"/>
      <c r="AG173" s="159"/>
      <c r="AH173" s="159"/>
      <c r="AI173" s="159"/>
      <c r="AJ173" s="159"/>
      <c r="AK173" s="167"/>
      <c r="AL173" s="167"/>
      <c r="AM173" s="167"/>
      <c r="AN173" s="167"/>
      <c r="AO173" s="167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67"/>
      <c r="BQ173" s="167"/>
      <c r="BR173" s="167"/>
      <c r="BS173" s="167"/>
      <c r="BT173" s="167"/>
      <c r="BU173" s="167"/>
      <c r="BV173" s="167"/>
      <c r="BW173" s="159"/>
      <c r="BX173" s="159"/>
      <c r="BY173" s="159"/>
      <c r="BZ173" s="159"/>
      <c r="CA173" s="159"/>
      <c r="CB173" s="159"/>
      <c r="CC173" s="159"/>
      <c r="CD173" s="159"/>
      <c r="CE173" s="159"/>
      <c r="CF173" s="159"/>
      <c r="CG173" s="159"/>
      <c r="CH173" s="159"/>
      <c r="CI173" s="159"/>
      <c r="CJ173" s="159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159"/>
      <c r="CV173" s="159"/>
      <c r="CW173" s="159"/>
      <c r="CX173" s="159"/>
      <c r="CY173" s="134"/>
    </row>
    <row r="174" spans="1:103" ht="12.75" customHeight="1" x14ac:dyDescent="0.3">
      <c r="A174" s="155"/>
      <c r="B174" s="134"/>
      <c r="C174" s="134"/>
      <c r="D174" s="134"/>
      <c r="E174" s="157"/>
      <c r="F174" s="157"/>
      <c r="G174" s="157"/>
      <c r="H174" s="157"/>
      <c r="I174" s="158"/>
      <c r="J174" s="159"/>
      <c r="K174" s="159"/>
      <c r="L174" s="159"/>
      <c r="M174" s="160"/>
      <c r="N174" s="160"/>
      <c r="O174" s="160"/>
      <c r="P174" s="158"/>
      <c r="Q174" s="158"/>
      <c r="R174" s="158"/>
      <c r="S174" s="158"/>
      <c r="T174" s="158"/>
      <c r="U174" s="158"/>
      <c r="V174" s="159"/>
      <c r="W174" s="159"/>
      <c r="X174" s="159"/>
      <c r="Y174" s="158"/>
      <c r="Z174" s="159"/>
      <c r="AA174" s="160"/>
      <c r="AB174" s="160"/>
      <c r="AC174" s="160"/>
      <c r="AD174" s="160"/>
      <c r="AE174" s="160"/>
      <c r="AF174" s="159"/>
      <c r="AG174" s="159"/>
      <c r="AH174" s="159"/>
      <c r="AI174" s="159"/>
      <c r="AJ174" s="159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  <c r="BJ174" s="167"/>
      <c r="BK174" s="167"/>
      <c r="BL174" s="167"/>
      <c r="BM174" s="167"/>
      <c r="BN174" s="167"/>
      <c r="BO174" s="167"/>
      <c r="BP174" s="167"/>
      <c r="BQ174" s="167"/>
      <c r="BR174" s="167"/>
      <c r="BS174" s="167"/>
      <c r="BT174" s="167"/>
      <c r="BU174" s="167"/>
      <c r="BV174" s="167"/>
      <c r="BW174" s="159"/>
      <c r="BX174" s="159"/>
      <c r="BY174" s="159"/>
      <c r="BZ174" s="159"/>
      <c r="CA174" s="159"/>
      <c r="CB174" s="159"/>
      <c r="CC174" s="159"/>
      <c r="CD174" s="159"/>
      <c r="CE174" s="159"/>
      <c r="CF174" s="159"/>
      <c r="CG174" s="159"/>
      <c r="CH174" s="159"/>
      <c r="CI174" s="159"/>
      <c r="CJ174" s="159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159"/>
      <c r="CV174" s="159"/>
      <c r="CW174" s="159"/>
      <c r="CX174" s="159"/>
      <c r="CY174" s="134"/>
    </row>
    <row r="175" spans="1:103" ht="12.75" customHeight="1" x14ac:dyDescent="0.3">
      <c r="A175" s="155"/>
      <c r="B175" s="134"/>
      <c r="C175" s="134"/>
      <c r="D175" s="134"/>
      <c r="E175" s="157"/>
      <c r="F175" s="157"/>
      <c r="G175" s="157"/>
      <c r="H175" s="157"/>
      <c r="I175" s="158"/>
      <c r="J175" s="159"/>
      <c r="K175" s="159"/>
      <c r="L175" s="159"/>
      <c r="M175" s="160"/>
      <c r="N175" s="160"/>
      <c r="O175" s="160"/>
      <c r="P175" s="158"/>
      <c r="Q175" s="158"/>
      <c r="R175" s="158"/>
      <c r="S175" s="158"/>
      <c r="T175" s="158"/>
      <c r="U175" s="158"/>
      <c r="V175" s="159"/>
      <c r="W175" s="159"/>
      <c r="X175" s="159"/>
      <c r="Y175" s="158"/>
      <c r="Z175" s="159"/>
      <c r="AA175" s="160"/>
      <c r="AB175" s="160"/>
      <c r="AC175" s="160"/>
      <c r="AD175" s="160"/>
      <c r="AE175" s="160"/>
      <c r="AF175" s="159"/>
      <c r="AG175" s="159"/>
      <c r="AH175" s="159"/>
      <c r="AI175" s="159"/>
      <c r="AJ175" s="159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  <c r="BJ175" s="167"/>
      <c r="BK175" s="167"/>
      <c r="BL175" s="167"/>
      <c r="BM175" s="167"/>
      <c r="BN175" s="167"/>
      <c r="BO175" s="167"/>
      <c r="BP175" s="167"/>
      <c r="BQ175" s="167"/>
      <c r="BR175" s="167"/>
      <c r="BS175" s="167"/>
      <c r="BT175" s="167"/>
      <c r="BU175" s="167"/>
      <c r="BV175" s="167"/>
      <c r="BW175" s="159"/>
      <c r="BX175" s="159"/>
      <c r="BY175" s="159"/>
      <c r="BZ175" s="159"/>
      <c r="CA175" s="159"/>
      <c r="CB175" s="159"/>
      <c r="CC175" s="159"/>
      <c r="CD175" s="159"/>
      <c r="CE175" s="159"/>
      <c r="CF175" s="159"/>
      <c r="CG175" s="159"/>
      <c r="CH175" s="159"/>
      <c r="CI175" s="159"/>
      <c r="CJ175" s="159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59"/>
      <c r="CW175" s="159"/>
      <c r="CX175" s="159"/>
      <c r="CY175" s="134"/>
    </row>
    <row r="176" spans="1:103" ht="12.75" customHeight="1" x14ac:dyDescent="0.3">
      <c r="A176" s="155"/>
      <c r="B176" s="134"/>
      <c r="C176" s="134"/>
      <c r="D176" s="134"/>
      <c r="E176" s="157"/>
      <c r="F176" s="157"/>
      <c r="G176" s="157"/>
      <c r="H176" s="157"/>
      <c r="I176" s="158"/>
      <c r="J176" s="159"/>
      <c r="K176" s="159"/>
      <c r="L176" s="159"/>
      <c r="M176" s="160"/>
      <c r="N176" s="160"/>
      <c r="O176" s="160"/>
      <c r="P176" s="158"/>
      <c r="Q176" s="158"/>
      <c r="R176" s="158"/>
      <c r="S176" s="158"/>
      <c r="T176" s="158"/>
      <c r="U176" s="158"/>
      <c r="V176" s="159"/>
      <c r="W176" s="159"/>
      <c r="X176" s="159"/>
      <c r="Y176" s="158"/>
      <c r="Z176" s="159"/>
      <c r="AA176" s="160"/>
      <c r="AB176" s="160"/>
      <c r="AC176" s="160"/>
      <c r="AD176" s="160"/>
      <c r="AE176" s="160"/>
      <c r="AF176" s="159"/>
      <c r="AG176" s="159"/>
      <c r="AH176" s="159"/>
      <c r="AI176" s="159"/>
      <c r="AJ176" s="159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  <c r="BG176" s="167"/>
      <c r="BH176" s="167"/>
      <c r="BI176" s="167"/>
      <c r="BJ176" s="167"/>
      <c r="BK176" s="167"/>
      <c r="BL176" s="167"/>
      <c r="BM176" s="167"/>
      <c r="BN176" s="167"/>
      <c r="BO176" s="167"/>
      <c r="BP176" s="167"/>
      <c r="BQ176" s="167"/>
      <c r="BR176" s="167"/>
      <c r="BS176" s="167"/>
      <c r="BT176" s="167"/>
      <c r="BU176" s="167"/>
      <c r="BV176" s="167"/>
      <c r="BW176" s="159"/>
      <c r="BX176" s="159"/>
      <c r="BY176" s="159"/>
      <c r="BZ176" s="159"/>
      <c r="CA176" s="159"/>
      <c r="CB176" s="159"/>
      <c r="CC176" s="159"/>
      <c r="CD176" s="159"/>
      <c r="CE176" s="159"/>
      <c r="CF176" s="159"/>
      <c r="CG176" s="159"/>
      <c r="CH176" s="159"/>
      <c r="CI176" s="159"/>
      <c r="CJ176" s="159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159"/>
      <c r="CV176" s="159"/>
      <c r="CW176" s="159"/>
      <c r="CX176" s="159"/>
      <c r="CY176" s="134"/>
    </row>
    <row r="177" spans="1:103" ht="12.75" customHeight="1" x14ac:dyDescent="0.3">
      <c r="A177" s="155"/>
      <c r="B177" s="134"/>
      <c r="C177" s="134"/>
      <c r="D177" s="134"/>
      <c r="E177" s="157"/>
      <c r="F177" s="157"/>
      <c r="G177" s="157"/>
      <c r="H177" s="157"/>
      <c r="I177" s="158"/>
      <c r="J177" s="159"/>
      <c r="K177" s="159"/>
      <c r="L177" s="159"/>
      <c r="M177" s="160"/>
      <c r="N177" s="160"/>
      <c r="O177" s="160"/>
      <c r="P177" s="158"/>
      <c r="Q177" s="158"/>
      <c r="R177" s="158"/>
      <c r="S177" s="158"/>
      <c r="T177" s="158"/>
      <c r="U177" s="158"/>
      <c r="V177" s="159"/>
      <c r="W177" s="159"/>
      <c r="X177" s="159"/>
      <c r="Y177" s="158"/>
      <c r="Z177" s="159"/>
      <c r="AA177" s="160"/>
      <c r="AB177" s="160"/>
      <c r="AC177" s="160"/>
      <c r="AD177" s="160"/>
      <c r="AE177" s="160"/>
      <c r="AF177" s="159"/>
      <c r="AG177" s="159"/>
      <c r="AH177" s="159"/>
      <c r="AI177" s="159"/>
      <c r="AJ177" s="159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  <c r="BJ177" s="167"/>
      <c r="BK177" s="167"/>
      <c r="BL177" s="167"/>
      <c r="BM177" s="167"/>
      <c r="BN177" s="167"/>
      <c r="BO177" s="167"/>
      <c r="BP177" s="167"/>
      <c r="BQ177" s="167"/>
      <c r="BR177" s="167"/>
      <c r="BS177" s="167"/>
      <c r="BT177" s="167"/>
      <c r="BU177" s="167"/>
      <c r="BV177" s="167"/>
      <c r="BW177" s="159"/>
      <c r="BX177" s="159"/>
      <c r="BY177" s="159"/>
      <c r="BZ177" s="159"/>
      <c r="CA177" s="159"/>
      <c r="CB177" s="159"/>
      <c r="CC177" s="159"/>
      <c r="CD177" s="159"/>
      <c r="CE177" s="159"/>
      <c r="CF177" s="159"/>
      <c r="CG177" s="159"/>
      <c r="CH177" s="159"/>
      <c r="CI177" s="159"/>
      <c r="CJ177" s="159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159"/>
      <c r="CV177" s="159"/>
      <c r="CW177" s="159"/>
      <c r="CX177" s="159"/>
      <c r="CY177" s="134"/>
    </row>
    <row r="178" spans="1:103" ht="12.75" customHeight="1" x14ac:dyDescent="0.3">
      <c r="A178" s="155"/>
      <c r="B178" s="134"/>
      <c r="C178" s="134"/>
      <c r="D178" s="134"/>
      <c r="E178" s="157"/>
      <c r="F178" s="157"/>
      <c r="G178" s="157"/>
      <c r="H178" s="157"/>
      <c r="I178" s="158"/>
      <c r="J178" s="159"/>
      <c r="K178" s="159"/>
      <c r="L178" s="159"/>
      <c r="M178" s="160"/>
      <c r="N178" s="160"/>
      <c r="O178" s="160"/>
      <c r="P178" s="158"/>
      <c r="Q178" s="158"/>
      <c r="R178" s="158"/>
      <c r="S178" s="158"/>
      <c r="T178" s="158"/>
      <c r="U178" s="158"/>
      <c r="V178" s="159"/>
      <c r="W178" s="159"/>
      <c r="X178" s="159"/>
      <c r="Y178" s="158"/>
      <c r="Z178" s="159"/>
      <c r="AA178" s="160"/>
      <c r="AB178" s="160"/>
      <c r="AC178" s="160"/>
      <c r="AD178" s="160"/>
      <c r="AE178" s="160"/>
      <c r="AF178" s="159"/>
      <c r="AG178" s="159"/>
      <c r="AH178" s="159"/>
      <c r="AI178" s="159"/>
      <c r="AJ178" s="159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  <c r="BJ178" s="167"/>
      <c r="BK178" s="167"/>
      <c r="BL178" s="167"/>
      <c r="BM178" s="167"/>
      <c r="BN178" s="167"/>
      <c r="BO178" s="167"/>
      <c r="BP178" s="167"/>
      <c r="BQ178" s="167"/>
      <c r="BR178" s="167"/>
      <c r="BS178" s="167"/>
      <c r="BT178" s="167"/>
      <c r="BU178" s="167"/>
      <c r="BV178" s="167"/>
      <c r="BW178" s="159"/>
      <c r="BX178" s="159"/>
      <c r="BY178" s="159"/>
      <c r="BZ178" s="159"/>
      <c r="CA178" s="159"/>
      <c r="CB178" s="159"/>
      <c r="CC178" s="159"/>
      <c r="CD178" s="159"/>
      <c r="CE178" s="159"/>
      <c r="CF178" s="159"/>
      <c r="CG178" s="159"/>
      <c r="CH178" s="159"/>
      <c r="CI178" s="159"/>
      <c r="CJ178" s="159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159"/>
      <c r="CV178" s="159"/>
      <c r="CW178" s="159"/>
      <c r="CX178" s="159"/>
      <c r="CY178" s="134"/>
    </row>
    <row r="179" spans="1:103" ht="12.75" customHeight="1" x14ac:dyDescent="0.3">
      <c r="A179" s="155"/>
      <c r="B179" s="134"/>
      <c r="C179" s="134"/>
      <c r="D179" s="134"/>
      <c r="E179" s="157"/>
      <c r="F179" s="157"/>
      <c r="G179" s="157"/>
      <c r="H179" s="157"/>
      <c r="I179" s="158"/>
      <c r="J179" s="159"/>
      <c r="K179" s="159"/>
      <c r="L179" s="159"/>
      <c r="M179" s="160"/>
      <c r="N179" s="160"/>
      <c r="O179" s="160"/>
      <c r="P179" s="158"/>
      <c r="Q179" s="158"/>
      <c r="R179" s="158"/>
      <c r="S179" s="158"/>
      <c r="T179" s="158"/>
      <c r="U179" s="158"/>
      <c r="V179" s="159"/>
      <c r="W179" s="159"/>
      <c r="X179" s="159"/>
      <c r="Y179" s="158"/>
      <c r="Z179" s="159"/>
      <c r="AA179" s="160"/>
      <c r="AB179" s="160"/>
      <c r="AC179" s="160"/>
      <c r="AD179" s="160"/>
      <c r="AE179" s="160"/>
      <c r="AF179" s="159"/>
      <c r="AG179" s="159"/>
      <c r="AH179" s="159"/>
      <c r="AI179" s="159"/>
      <c r="AJ179" s="159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  <c r="BJ179" s="167"/>
      <c r="BK179" s="167"/>
      <c r="BL179" s="167"/>
      <c r="BM179" s="167"/>
      <c r="BN179" s="167"/>
      <c r="BO179" s="167"/>
      <c r="BP179" s="167"/>
      <c r="BQ179" s="167"/>
      <c r="BR179" s="167"/>
      <c r="BS179" s="167"/>
      <c r="BT179" s="167"/>
      <c r="BU179" s="167"/>
      <c r="BV179" s="167"/>
      <c r="BW179" s="159"/>
      <c r="BX179" s="159"/>
      <c r="BY179" s="159"/>
      <c r="BZ179" s="159"/>
      <c r="CA179" s="159"/>
      <c r="CB179" s="159"/>
      <c r="CC179" s="159"/>
      <c r="CD179" s="159"/>
      <c r="CE179" s="159"/>
      <c r="CF179" s="159"/>
      <c r="CG179" s="159"/>
      <c r="CH179" s="159"/>
      <c r="CI179" s="159"/>
      <c r="CJ179" s="159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159"/>
      <c r="CV179" s="159"/>
      <c r="CW179" s="159"/>
      <c r="CX179" s="159"/>
      <c r="CY179" s="134"/>
    </row>
    <row r="180" spans="1:103" ht="12.75" customHeight="1" x14ac:dyDescent="0.3">
      <c r="A180" s="155"/>
      <c r="B180" s="134"/>
      <c r="C180" s="134"/>
      <c r="D180" s="134"/>
      <c r="E180" s="157"/>
      <c r="F180" s="157"/>
      <c r="G180" s="157"/>
      <c r="H180" s="157"/>
      <c r="I180" s="158"/>
      <c r="J180" s="159"/>
      <c r="K180" s="159"/>
      <c r="L180" s="159"/>
      <c r="M180" s="160"/>
      <c r="N180" s="160"/>
      <c r="O180" s="160"/>
      <c r="P180" s="158"/>
      <c r="Q180" s="158"/>
      <c r="R180" s="158"/>
      <c r="S180" s="158"/>
      <c r="T180" s="158"/>
      <c r="U180" s="158"/>
      <c r="V180" s="159"/>
      <c r="W180" s="159"/>
      <c r="X180" s="159"/>
      <c r="Y180" s="158"/>
      <c r="Z180" s="159"/>
      <c r="AA180" s="160"/>
      <c r="AB180" s="160"/>
      <c r="AC180" s="160"/>
      <c r="AD180" s="160"/>
      <c r="AE180" s="160"/>
      <c r="AF180" s="159"/>
      <c r="AG180" s="159"/>
      <c r="AH180" s="159"/>
      <c r="AI180" s="159"/>
      <c r="AJ180" s="159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  <c r="BJ180" s="167"/>
      <c r="BK180" s="167"/>
      <c r="BL180" s="167"/>
      <c r="BM180" s="167"/>
      <c r="BN180" s="167"/>
      <c r="BO180" s="167"/>
      <c r="BP180" s="167"/>
      <c r="BQ180" s="167"/>
      <c r="BR180" s="167"/>
      <c r="BS180" s="167"/>
      <c r="BT180" s="167"/>
      <c r="BU180" s="167"/>
      <c r="BV180" s="167"/>
      <c r="BW180" s="159"/>
      <c r="BX180" s="159"/>
      <c r="BY180" s="159"/>
      <c r="BZ180" s="159"/>
      <c r="CA180" s="159"/>
      <c r="CB180" s="159"/>
      <c r="CC180" s="159"/>
      <c r="CD180" s="159"/>
      <c r="CE180" s="159"/>
      <c r="CF180" s="159"/>
      <c r="CG180" s="159"/>
      <c r="CH180" s="159"/>
      <c r="CI180" s="159"/>
      <c r="CJ180" s="159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159"/>
      <c r="CV180" s="159"/>
      <c r="CW180" s="159"/>
      <c r="CX180" s="159"/>
      <c r="CY180" s="134"/>
    </row>
    <row r="181" spans="1:103" ht="12.75" customHeight="1" x14ac:dyDescent="0.3">
      <c r="A181" s="155"/>
      <c r="B181" s="134"/>
      <c r="C181" s="134"/>
      <c r="D181" s="134"/>
      <c r="E181" s="157"/>
      <c r="F181" s="157"/>
      <c r="G181" s="157"/>
      <c r="H181" s="157"/>
      <c r="I181" s="158"/>
      <c r="J181" s="159"/>
      <c r="K181" s="159"/>
      <c r="L181" s="159"/>
      <c r="M181" s="160"/>
      <c r="N181" s="160"/>
      <c r="O181" s="160"/>
      <c r="P181" s="158"/>
      <c r="Q181" s="158"/>
      <c r="R181" s="158"/>
      <c r="S181" s="158"/>
      <c r="T181" s="158"/>
      <c r="U181" s="158"/>
      <c r="V181" s="159"/>
      <c r="W181" s="159"/>
      <c r="X181" s="159"/>
      <c r="Y181" s="158"/>
      <c r="Z181" s="159"/>
      <c r="AA181" s="160"/>
      <c r="AB181" s="160"/>
      <c r="AC181" s="160"/>
      <c r="AD181" s="160"/>
      <c r="AE181" s="160"/>
      <c r="AF181" s="159"/>
      <c r="AG181" s="159"/>
      <c r="AH181" s="159"/>
      <c r="AI181" s="159"/>
      <c r="AJ181" s="159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  <c r="BJ181" s="167"/>
      <c r="BK181" s="167"/>
      <c r="BL181" s="167"/>
      <c r="BM181" s="167"/>
      <c r="BN181" s="167"/>
      <c r="BO181" s="167"/>
      <c r="BP181" s="167"/>
      <c r="BQ181" s="167"/>
      <c r="BR181" s="167"/>
      <c r="BS181" s="167"/>
      <c r="BT181" s="167"/>
      <c r="BU181" s="167"/>
      <c r="BV181" s="167"/>
      <c r="BW181" s="159"/>
      <c r="BX181" s="159"/>
      <c r="BY181" s="159"/>
      <c r="BZ181" s="159"/>
      <c r="CA181" s="159"/>
      <c r="CB181" s="159"/>
      <c r="CC181" s="159"/>
      <c r="CD181" s="159"/>
      <c r="CE181" s="159"/>
      <c r="CF181" s="159"/>
      <c r="CG181" s="159"/>
      <c r="CH181" s="159"/>
      <c r="CI181" s="159"/>
      <c r="CJ181" s="159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159"/>
      <c r="CV181" s="159"/>
      <c r="CW181" s="159"/>
      <c r="CX181" s="159"/>
      <c r="CY181" s="134"/>
    </row>
    <row r="182" spans="1:103" ht="12.75" customHeight="1" x14ac:dyDescent="0.3">
      <c r="A182" s="155"/>
      <c r="B182" s="134"/>
      <c r="C182" s="134"/>
      <c r="D182" s="134"/>
      <c r="E182" s="157"/>
      <c r="F182" s="157"/>
      <c r="G182" s="157"/>
      <c r="H182" s="157"/>
      <c r="I182" s="158"/>
      <c r="J182" s="159"/>
      <c r="K182" s="159"/>
      <c r="L182" s="159"/>
      <c r="M182" s="160"/>
      <c r="N182" s="160"/>
      <c r="O182" s="160"/>
      <c r="P182" s="158"/>
      <c r="Q182" s="158"/>
      <c r="R182" s="158"/>
      <c r="S182" s="158"/>
      <c r="T182" s="158"/>
      <c r="U182" s="158"/>
      <c r="V182" s="159"/>
      <c r="W182" s="159"/>
      <c r="X182" s="159"/>
      <c r="Y182" s="158"/>
      <c r="Z182" s="159"/>
      <c r="AA182" s="160"/>
      <c r="AB182" s="160"/>
      <c r="AC182" s="160"/>
      <c r="AD182" s="160"/>
      <c r="AE182" s="160"/>
      <c r="AF182" s="159"/>
      <c r="AG182" s="159"/>
      <c r="AH182" s="159"/>
      <c r="AI182" s="159"/>
      <c r="AJ182" s="159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  <c r="BJ182" s="167"/>
      <c r="BK182" s="167"/>
      <c r="BL182" s="167"/>
      <c r="BM182" s="167"/>
      <c r="BN182" s="167"/>
      <c r="BO182" s="167"/>
      <c r="BP182" s="167"/>
      <c r="BQ182" s="167"/>
      <c r="BR182" s="167"/>
      <c r="BS182" s="167"/>
      <c r="BT182" s="167"/>
      <c r="BU182" s="167"/>
      <c r="BV182" s="167"/>
      <c r="BW182" s="159"/>
      <c r="BX182" s="159"/>
      <c r="BY182" s="159"/>
      <c r="BZ182" s="159"/>
      <c r="CA182" s="159"/>
      <c r="CB182" s="159"/>
      <c r="CC182" s="159"/>
      <c r="CD182" s="159"/>
      <c r="CE182" s="159"/>
      <c r="CF182" s="159"/>
      <c r="CG182" s="159"/>
      <c r="CH182" s="159"/>
      <c r="CI182" s="159"/>
      <c r="CJ182" s="159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159"/>
      <c r="CV182" s="159"/>
      <c r="CW182" s="159"/>
      <c r="CX182" s="159"/>
      <c r="CY182" s="134"/>
    </row>
    <row r="183" spans="1:103" ht="12.75" customHeight="1" x14ac:dyDescent="0.3">
      <c r="A183" s="155"/>
      <c r="B183" s="134"/>
      <c r="C183" s="134"/>
      <c r="D183" s="134"/>
      <c r="E183" s="157"/>
      <c r="F183" s="157"/>
      <c r="G183" s="157"/>
      <c r="H183" s="157"/>
      <c r="I183" s="158"/>
      <c r="J183" s="159"/>
      <c r="K183" s="159"/>
      <c r="L183" s="159"/>
      <c r="M183" s="160"/>
      <c r="N183" s="160"/>
      <c r="O183" s="160"/>
      <c r="P183" s="158"/>
      <c r="Q183" s="158"/>
      <c r="R183" s="158"/>
      <c r="S183" s="158"/>
      <c r="T183" s="158"/>
      <c r="U183" s="158"/>
      <c r="V183" s="159"/>
      <c r="W183" s="159"/>
      <c r="X183" s="159"/>
      <c r="Y183" s="158"/>
      <c r="Z183" s="159"/>
      <c r="AA183" s="160"/>
      <c r="AB183" s="160"/>
      <c r="AC183" s="160"/>
      <c r="AD183" s="160"/>
      <c r="AE183" s="160"/>
      <c r="AF183" s="159"/>
      <c r="AG183" s="159"/>
      <c r="AH183" s="159"/>
      <c r="AI183" s="159"/>
      <c r="AJ183" s="159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  <c r="BJ183" s="167"/>
      <c r="BK183" s="167"/>
      <c r="BL183" s="167"/>
      <c r="BM183" s="167"/>
      <c r="BN183" s="167"/>
      <c r="BO183" s="167"/>
      <c r="BP183" s="167"/>
      <c r="BQ183" s="167"/>
      <c r="BR183" s="167"/>
      <c r="BS183" s="167"/>
      <c r="BT183" s="167"/>
      <c r="BU183" s="167"/>
      <c r="BV183" s="167"/>
      <c r="BW183" s="159"/>
      <c r="BX183" s="159"/>
      <c r="BY183" s="159"/>
      <c r="BZ183" s="159"/>
      <c r="CA183" s="159"/>
      <c r="CB183" s="159"/>
      <c r="CC183" s="159"/>
      <c r="CD183" s="159"/>
      <c r="CE183" s="159"/>
      <c r="CF183" s="159"/>
      <c r="CG183" s="159"/>
      <c r="CH183" s="159"/>
      <c r="CI183" s="159"/>
      <c r="CJ183" s="159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159"/>
      <c r="CV183" s="159"/>
      <c r="CW183" s="159"/>
      <c r="CX183" s="159"/>
      <c r="CY183" s="134"/>
    </row>
    <row r="184" spans="1:103" ht="12.75" customHeight="1" x14ac:dyDescent="0.3">
      <c r="A184" s="155"/>
      <c r="B184" s="134"/>
      <c r="C184" s="134"/>
      <c r="D184" s="134"/>
      <c r="E184" s="157"/>
      <c r="F184" s="157"/>
      <c r="G184" s="157"/>
      <c r="H184" s="157"/>
      <c r="I184" s="158"/>
      <c r="J184" s="159"/>
      <c r="K184" s="159"/>
      <c r="L184" s="159"/>
      <c r="M184" s="160"/>
      <c r="N184" s="160"/>
      <c r="O184" s="160"/>
      <c r="P184" s="158"/>
      <c r="Q184" s="158"/>
      <c r="R184" s="158"/>
      <c r="S184" s="158"/>
      <c r="T184" s="158"/>
      <c r="U184" s="158"/>
      <c r="V184" s="159"/>
      <c r="W184" s="159"/>
      <c r="X184" s="159"/>
      <c r="Y184" s="158"/>
      <c r="Z184" s="159"/>
      <c r="AA184" s="160"/>
      <c r="AB184" s="160"/>
      <c r="AC184" s="160"/>
      <c r="AD184" s="160"/>
      <c r="AE184" s="160"/>
      <c r="AF184" s="159"/>
      <c r="AG184" s="159"/>
      <c r="AH184" s="159"/>
      <c r="AI184" s="159"/>
      <c r="AJ184" s="159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  <c r="BJ184" s="167"/>
      <c r="BK184" s="167"/>
      <c r="BL184" s="167"/>
      <c r="BM184" s="167"/>
      <c r="BN184" s="167"/>
      <c r="BO184" s="167"/>
      <c r="BP184" s="167"/>
      <c r="BQ184" s="167"/>
      <c r="BR184" s="167"/>
      <c r="BS184" s="167"/>
      <c r="BT184" s="167"/>
      <c r="BU184" s="167"/>
      <c r="BV184" s="167"/>
      <c r="BW184" s="159"/>
      <c r="BX184" s="159"/>
      <c r="BY184" s="159"/>
      <c r="BZ184" s="159"/>
      <c r="CA184" s="159"/>
      <c r="CB184" s="159"/>
      <c r="CC184" s="159"/>
      <c r="CD184" s="159"/>
      <c r="CE184" s="159"/>
      <c r="CF184" s="159"/>
      <c r="CG184" s="159"/>
      <c r="CH184" s="159"/>
      <c r="CI184" s="159"/>
      <c r="CJ184" s="159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159"/>
      <c r="CV184" s="159"/>
      <c r="CW184" s="159"/>
      <c r="CX184" s="159"/>
      <c r="CY184" s="134"/>
    </row>
    <row r="185" spans="1:103" ht="12.75" customHeight="1" x14ac:dyDescent="0.3">
      <c r="A185" s="155"/>
      <c r="B185" s="134"/>
      <c r="C185" s="134"/>
      <c r="D185" s="134"/>
      <c r="E185" s="157"/>
      <c r="F185" s="157"/>
      <c r="G185" s="157"/>
      <c r="H185" s="157"/>
      <c r="I185" s="158"/>
      <c r="J185" s="159"/>
      <c r="K185" s="159"/>
      <c r="L185" s="159"/>
      <c r="M185" s="160"/>
      <c r="N185" s="160"/>
      <c r="O185" s="160"/>
      <c r="P185" s="158"/>
      <c r="Q185" s="158"/>
      <c r="R185" s="158"/>
      <c r="S185" s="158"/>
      <c r="T185" s="158"/>
      <c r="U185" s="158"/>
      <c r="V185" s="159"/>
      <c r="W185" s="159"/>
      <c r="X185" s="159"/>
      <c r="Y185" s="158"/>
      <c r="Z185" s="159"/>
      <c r="AA185" s="160"/>
      <c r="AB185" s="160"/>
      <c r="AC185" s="160"/>
      <c r="AD185" s="160"/>
      <c r="AE185" s="160"/>
      <c r="AF185" s="159"/>
      <c r="AG185" s="159"/>
      <c r="AH185" s="159"/>
      <c r="AI185" s="159"/>
      <c r="AJ185" s="159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  <c r="BJ185" s="167"/>
      <c r="BK185" s="167"/>
      <c r="BL185" s="167"/>
      <c r="BM185" s="167"/>
      <c r="BN185" s="167"/>
      <c r="BO185" s="167"/>
      <c r="BP185" s="167"/>
      <c r="BQ185" s="167"/>
      <c r="BR185" s="167"/>
      <c r="BS185" s="167"/>
      <c r="BT185" s="167"/>
      <c r="BU185" s="167"/>
      <c r="BV185" s="167"/>
      <c r="BW185" s="159"/>
      <c r="BX185" s="159"/>
      <c r="BY185" s="159"/>
      <c r="BZ185" s="159"/>
      <c r="CA185" s="159"/>
      <c r="CB185" s="159"/>
      <c r="CC185" s="159"/>
      <c r="CD185" s="159"/>
      <c r="CE185" s="159"/>
      <c r="CF185" s="159"/>
      <c r="CG185" s="159"/>
      <c r="CH185" s="159"/>
      <c r="CI185" s="159"/>
      <c r="CJ185" s="159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159"/>
      <c r="CV185" s="159"/>
      <c r="CW185" s="159"/>
      <c r="CX185" s="159"/>
      <c r="CY185" s="134"/>
    </row>
    <row r="186" spans="1:103" ht="12.75" customHeight="1" x14ac:dyDescent="0.3">
      <c r="A186" s="155"/>
      <c r="B186" s="134"/>
      <c r="C186" s="134"/>
      <c r="D186" s="134"/>
      <c r="E186" s="157"/>
      <c r="F186" s="157"/>
      <c r="G186" s="157"/>
      <c r="H186" s="157"/>
      <c r="I186" s="158"/>
      <c r="J186" s="159"/>
      <c r="K186" s="159"/>
      <c r="L186" s="159"/>
      <c r="M186" s="160"/>
      <c r="N186" s="160"/>
      <c r="O186" s="160"/>
      <c r="P186" s="158"/>
      <c r="Q186" s="158"/>
      <c r="R186" s="158"/>
      <c r="S186" s="158"/>
      <c r="T186" s="158"/>
      <c r="U186" s="158"/>
      <c r="V186" s="159"/>
      <c r="W186" s="159"/>
      <c r="X186" s="159"/>
      <c r="Y186" s="158"/>
      <c r="Z186" s="159"/>
      <c r="AA186" s="160"/>
      <c r="AB186" s="160"/>
      <c r="AC186" s="160"/>
      <c r="AD186" s="160"/>
      <c r="AE186" s="160"/>
      <c r="AF186" s="159"/>
      <c r="AG186" s="159"/>
      <c r="AH186" s="159"/>
      <c r="AI186" s="159"/>
      <c r="AJ186" s="159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  <c r="BJ186" s="167"/>
      <c r="BK186" s="167"/>
      <c r="BL186" s="167"/>
      <c r="BM186" s="167"/>
      <c r="BN186" s="167"/>
      <c r="BO186" s="167"/>
      <c r="BP186" s="167"/>
      <c r="BQ186" s="167"/>
      <c r="BR186" s="167"/>
      <c r="BS186" s="167"/>
      <c r="BT186" s="167"/>
      <c r="BU186" s="167"/>
      <c r="BV186" s="167"/>
      <c r="BW186" s="159"/>
      <c r="BX186" s="159"/>
      <c r="BY186" s="159"/>
      <c r="BZ186" s="159"/>
      <c r="CA186" s="159"/>
      <c r="CB186" s="159"/>
      <c r="CC186" s="159"/>
      <c r="CD186" s="159"/>
      <c r="CE186" s="159"/>
      <c r="CF186" s="159"/>
      <c r="CG186" s="159"/>
      <c r="CH186" s="159"/>
      <c r="CI186" s="159"/>
      <c r="CJ186" s="159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159"/>
      <c r="CV186" s="159"/>
      <c r="CW186" s="159"/>
      <c r="CX186" s="159"/>
      <c r="CY186" s="134"/>
    </row>
    <row r="187" spans="1:103" ht="12.75" customHeight="1" x14ac:dyDescent="0.3">
      <c r="A187" s="155"/>
      <c r="B187" s="134"/>
      <c r="C187" s="134"/>
      <c r="D187" s="134"/>
      <c r="E187" s="157"/>
      <c r="F187" s="157"/>
      <c r="G187" s="157"/>
      <c r="H187" s="157"/>
      <c r="I187" s="158"/>
      <c r="J187" s="159"/>
      <c r="K187" s="159"/>
      <c r="L187" s="159"/>
      <c r="M187" s="160"/>
      <c r="N187" s="160"/>
      <c r="O187" s="160"/>
      <c r="P187" s="158"/>
      <c r="Q187" s="158"/>
      <c r="R187" s="158"/>
      <c r="S187" s="158"/>
      <c r="T187" s="158"/>
      <c r="U187" s="158"/>
      <c r="V187" s="159"/>
      <c r="W187" s="159"/>
      <c r="X187" s="159"/>
      <c r="Y187" s="158"/>
      <c r="Z187" s="159"/>
      <c r="AA187" s="160"/>
      <c r="AB187" s="160"/>
      <c r="AC187" s="160"/>
      <c r="AD187" s="160"/>
      <c r="AE187" s="160"/>
      <c r="AF187" s="159"/>
      <c r="AG187" s="159"/>
      <c r="AH187" s="159"/>
      <c r="AI187" s="159"/>
      <c r="AJ187" s="159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  <c r="BJ187" s="167"/>
      <c r="BK187" s="167"/>
      <c r="BL187" s="167"/>
      <c r="BM187" s="167"/>
      <c r="BN187" s="167"/>
      <c r="BO187" s="167"/>
      <c r="BP187" s="167"/>
      <c r="BQ187" s="167"/>
      <c r="BR187" s="167"/>
      <c r="BS187" s="167"/>
      <c r="BT187" s="167"/>
      <c r="BU187" s="167"/>
      <c r="BV187" s="167"/>
      <c r="BW187" s="159"/>
      <c r="BX187" s="159"/>
      <c r="BY187" s="159"/>
      <c r="BZ187" s="159"/>
      <c r="CA187" s="159"/>
      <c r="CB187" s="159"/>
      <c r="CC187" s="159"/>
      <c r="CD187" s="159"/>
      <c r="CE187" s="159"/>
      <c r="CF187" s="159"/>
      <c r="CG187" s="159"/>
      <c r="CH187" s="159"/>
      <c r="CI187" s="159"/>
      <c r="CJ187" s="159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159"/>
      <c r="CV187" s="159"/>
      <c r="CW187" s="159"/>
      <c r="CX187" s="159"/>
      <c r="CY187" s="134"/>
    </row>
    <row r="188" spans="1:103" ht="12.75" customHeight="1" x14ac:dyDescent="0.3">
      <c r="A188" s="155"/>
      <c r="B188" s="134"/>
      <c r="C188" s="134"/>
      <c r="D188" s="134"/>
      <c r="E188" s="157"/>
      <c r="F188" s="157"/>
      <c r="G188" s="157"/>
      <c r="H188" s="157"/>
      <c r="I188" s="158"/>
      <c r="J188" s="159"/>
      <c r="K188" s="159"/>
      <c r="L188" s="159"/>
      <c r="M188" s="160"/>
      <c r="N188" s="160"/>
      <c r="O188" s="160"/>
      <c r="P188" s="158"/>
      <c r="Q188" s="158"/>
      <c r="R188" s="158"/>
      <c r="S188" s="158"/>
      <c r="T188" s="158"/>
      <c r="U188" s="158"/>
      <c r="V188" s="159"/>
      <c r="W188" s="159"/>
      <c r="X188" s="159"/>
      <c r="Y188" s="158"/>
      <c r="Z188" s="159"/>
      <c r="AA188" s="160"/>
      <c r="AB188" s="160"/>
      <c r="AC188" s="160"/>
      <c r="AD188" s="160"/>
      <c r="AE188" s="160"/>
      <c r="AF188" s="159"/>
      <c r="AG188" s="159"/>
      <c r="AH188" s="159"/>
      <c r="AI188" s="159"/>
      <c r="AJ188" s="159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67"/>
      <c r="BM188" s="167"/>
      <c r="BN188" s="167"/>
      <c r="BO188" s="167"/>
      <c r="BP188" s="167"/>
      <c r="BQ188" s="167"/>
      <c r="BR188" s="167"/>
      <c r="BS188" s="167"/>
      <c r="BT188" s="167"/>
      <c r="BU188" s="167"/>
      <c r="BV188" s="167"/>
      <c r="BW188" s="159"/>
      <c r="BX188" s="159"/>
      <c r="BY188" s="159"/>
      <c r="BZ188" s="159"/>
      <c r="CA188" s="159"/>
      <c r="CB188" s="159"/>
      <c r="CC188" s="159"/>
      <c r="CD188" s="159"/>
      <c r="CE188" s="159"/>
      <c r="CF188" s="159"/>
      <c r="CG188" s="159"/>
      <c r="CH188" s="159"/>
      <c r="CI188" s="159"/>
      <c r="CJ188" s="159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159"/>
      <c r="CV188" s="159"/>
      <c r="CW188" s="159"/>
      <c r="CX188" s="159"/>
      <c r="CY188" s="134"/>
    </row>
    <row r="189" spans="1:103" ht="12.75" customHeight="1" x14ac:dyDescent="0.3">
      <c r="A189" s="155"/>
      <c r="B189" s="134"/>
      <c r="C189" s="134"/>
      <c r="D189" s="134"/>
      <c r="E189" s="157"/>
      <c r="F189" s="157"/>
      <c r="G189" s="157"/>
      <c r="H189" s="157"/>
      <c r="I189" s="158"/>
      <c r="J189" s="159"/>
      <c r="K189" s="159"/>
      <c r="L189" s="159"/>
      <c r="M189" s="160"/>
      <c r="N189" s="160"/>
      <c r="O189" s="160"/>
      <c r="P189" s="158"/>
      <c r="Q189" s="158"/>
      <c r="R189" s="158"/>
      <c r="S189" s="158"/>
      <c r="T189" s="158"/>
      <c r="U189" s="158"/>
      <c r="V189" s="159"/>
      <c r="W189" s="159"/>
      <c r="X189" s="159"/>
      <c r="Y189" s="158"/>
      <c r="Z189" s="159"/>
      <c r="AA189" s="160"/>
      <c r="AB189" s="160"/>
      <c r="AC189" s="160"/>
      <c r="AD189" s="160"/>
      <c r="AE189" s="160"/>
      <c r="AF189" s="159"/>
      <c r="AG189" s="159"/>
      <c r="AH189" s="159"/>
      <c r="AI189" s="159"/>
      <c r="AJ189" s="159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  <c r="BP189" s="167"/>
      <c r="BQ189" s="167"/>
      <c r="BR189" s="167"/>
      <c r="BS189" s="167"/>
      <c r="BT189" s="167"/>
      <c r="BU189" s="167"/>
      <c r="BV189" s="167"/>
      <c r="BW189" s="159"/>
      <c r="BX189" s="159"/>
      <c r="BY189" s="159"/>
      <c r="BZ189" s="159"/>
      <c r="CA189" s="159"/>
      <c r="CB189" s="159"/>
      <c r="CC189" s="159"/>
      <c r="CD189" s="159"/>
      <c r="CE189" s="159"/>
      <c r="CF189" s="159"/>
      <c r="CG189" s="159"/>
      <c r="CH189" s="159"/>
      <c r="CI189" s="159"/>
      <c r="CJ189" s="159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159"/>
      <c r="CV189" s="159"/>
      <c r="CW189" s="159"/>
      <c r="CX189" s="159"/>
      <c r="CY189" s="134"/>
    </row>
    <row r="190" spans="1:103" ht="12.75" customHeight="1" x14ac:dyDescent="0.3">
      <c r="A190" s="155"/>
      <c r="B190" s="134"/>
      <c r="C190" s="134"/>
      <c r="D190" s="134"/>
      <c r="E190" s="157"/>
      <c r="F190" s="157"/>
      <c r="G190" s="157"/>
      <c r="H190" s="157"/>
      <c r="I190" s="158"/>
      <c r="J190" s="159"/>
      <c r="K190" s="159"/>
      <c r="L190" s="159"/>
      <c r="M190" s="160"/>
      <c r="N190" s="160"/>
      <c r="O190" s="160"/>
      <c r="P190" s="158"/>
      <c r="Q190" s="158"/>
      <c r="R190" s="158"/>
      <c r="S190" s="158"/>
      <c r="T190" s="158"/>
      <c r="U190" s="158"/>
      <c r="V190" s="159"/>
      <c r="W190" s="159"/>
      <c r="X190" s="159"/>
      <c r="Y190" s="158"/>
      <c r="Z190" s="159"/>
      <c r="AA190" s="160"/>
      <c r="AB190" s="160"/>
      <c r="AC190" s="160"/>
      <c r="AD190" s="160"/>
      <c r="AE190" s="160"/>
      <c r="AF190" s="159"/>
      <c r="AG190" s="159"/>
      <c r="AH190" s="159"/>
      <c r="AI190" s="159"/>
      <c r="AJ190" s="159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  <c r="BJ190" s="167"/>
      <c r="BK190" s="167"/>
      <c r="BL190" s="167"/>
      <c r="BM190" s="167"/>
      <c r="BN190" s="167"/>
      <c r="BO190" s="167"/>
      <c r="BP190" s="167"/>
      <c r="BQ190" s="167"/>
      <c r="BR190" s="167"/>
      <c r="BS190" s="167"/>
      <c r="BT190" s="167"/>
      <c r="BU190" s="167"/>
      <c r="BV190" s="167"/>
      <c r="BW190" s="159"/>
      <c r="BX190" s="159"/>
      <c r="BY190" s="159"/>
      <c r="BZ190" s="159"/>
      <c r="CA190" s="159"/>
      <c r="CB190" s="159"/>
      <c r="CC190" s="159"/>
      <c r="CD190" s="159"/>
      <c r="CE190" s="159"/>
      <c r="CF190" s="159"/>
      <c r="CG190" s="159"/>
      <c r="CH190" s="159"/>
      <c r="CI190" s="159"/>
      <c r="CJ190" s="159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159"/>
      <c r="CV190" s="159"/>
      <c r="CW190" s="159"/>
      <c r="CX190" s="159"/>
      <c r="CY190" s="134"/>
    </row>
    <row r="191" spans="1:103" ht="12.75" customHeight="1" x14ac:dyDescent="0.3">
      <c r="A191" s="155"/>
      <c r="B191" s="134"/>
      <c r="C191" s="134"/>
      <c r="D191" s="134"/>
      <c r="E191" s="157"/>
      <c r="F191" s="157"/>
      <c r="G191" s="157"/>
      <c r="H191" s="157"/>
      <c r="I191" s="158"/>
      <c r="J191" s="159"/>
      <c r="K191" s="159"/>
      <c r="L191" s="159"/>
      <c r="M191" s="160"/>
      <c r="N191" s="160"/>
      <c r="O191" s="160"/>
      <c r="P191" s="158"/>
      <c r="Q191" s="158"/>
      <c r="R191" s="158"/>
      <c r="S191" s="158"/>
      <c r="T191" s="158"/>
      <c r="U191" s="158"/>
      <c r="V191" s="159"/>
      <c r="W191" s="159"/>
      <c r="X191" s="159"/>
      <c r="Y191" s="158"/>
      <c r="Z191" s="159"/>
      <c r="AA191" s="160"/>
      <c r="AB191" s="160"/>
      <c r="AC191" s="160"/>
      <c r="AD191" s="160"/>
      <c r="AE191" s="160"/>
      <c r="AF191" s="159"/>
      <c r="AG191" s="159"/>
      <c r="AH191" s="159"/>
      <c r="AI191" s="159"/>
      <c r="AJ191" s="159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  <c r="BJ191" s="167"/>
      <c r="BK191" s="167"/>
      <c r="BL191" s="167"/>
      <c r="BM191" s="167"/>
      <c r="BN191" s="167"/>
      <c r="BO191" s="167"/>
      <c r="BP191" s="167"/>
      <c r="BQ191" s="167"/>
      <c r="BR191" s="167"/>
      <c r="BS191" s="167"/>
      <c r="BT191" s="167"/>
      <c r="BU191" s="167"/>
      <c r="BV191" s="167"/>
      <c r="BW191" s="159"/>
      <c r="BX191" s="159"/>
      <c r="BY191" s="159"/>
      <c r="BZ191" s="159"/>
      <c r="CA191" s="159"/>
      <c r="CB191" s="159"/>
      <c r="CC191" s="159"/>
      <c r="CD191" s="159"/>
      <c r="CE191" s="159"/>
      <c r="CF191" s="159"/>
      <c r="CG191" s="159"/>
      <c r="CH191" s="159"/>
      <c r="CI191" s="159"/>
      <c r="CJ191" s="159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159"/>
      <c r="CV191" s="159"/>
      <c r="CW191" s="159"/>
      <c r="CX191" s="159"/>
      <c r="CY191" s="134"/>
    </row>
    <row r="192" spans="1:103" ht="12.75" customHeight="1" x14ac:dyDescent="0.3">
      <c r="A192" s="155"/>
      <c r="B192" s="134"/>
      <c r="C192" s="134"/>
      <c r="D192" s="134"/>
      <c r="E192" s="157"/>
      <c r="F192" s="157"/>
      <c r="G192" s="157"/>
      <c r="H192" s="157"/>
      <c r="I192" s="158"/>
      <c r="J192" s="159"/>
      <c r="K192" s="159"/>
      <c r="L192" s="159"/>
      <c r="M192" s="160"/>
      <c r="N192" s="160"/>
      <c r="O192" s="160"/>
      <c r="P192" s="158"/>
      <c r="Q192" s="158"/>
      <c r="R192" s="158"/>
      <c r="S192" s="158"/>
      <c r="T192" s="158"/>
      <c r="U192" s="158"/>
      <c r="V192" s="159"/>
      <c r="W192" s="159"/>
      <c r="X192" s="159"/>
      <c r="Y192" s="158"/>
      <c r="Z192" s="159"/>
      <c r="AA192" s="160"/>
      <c r="AB192" s="160"/>
      <c r="AC192" s="160"/>
      <c r="AD192" s="160"/>
      <c r="AE192" s="160"/>
      <c r="AF192" s="159"/>
      <c r="AG192" s="159"/>
      <c r="AH192" s="159"/>
      <c r="AI192" s="159"/>
      <c r="AJ192" s="159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  <c r="BJ192" s="167"/>
      <c r="BK192" s="167"/>
      <c r="BL192" s="167"/>
      <c r="BM192" s="167"/>
      <c r="BN192" s="167"/>
      <c r="BO192" s="167"/>
      <c r="BP192" s="167"/>
      <c r="BQ192" s="167"/>
      <c r="BR192" s="167"/>
      <c r="BS192" s="167"/>
      <c r="BT192" s="167"/>
      <c r="BU192" s="167"/>
      <c r="BV192" s="167"/>
      <c r="BW192" s="159"/>
      <c r="BX192" s="159"/>
      <c r="BY192" s="159"/>
      <c r="BZ192" s="159"/>
      <c r="CA192" s="159"/>
      <c r="CB192" s="159"/>
      <c r="CC192" s="159"/>
      <c r="CD192" s="159"/>
      <c r="CE192" s="159"/>
      <c r="CF192" s="159"/>
      <c r="CG192" s="159"/>
      <c r="CH192" s="159"/>
      <c r="CI192" s="159"/>
      <c r="CJ192" s="159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159"/>
      <c r="CV192" s="159"/>
      <c r="CW192" s="159"/>
      <c r="CX192" s="159"/>
      <c r="CY192" s="134"/>
    </row>
    <row r="193" spans="1:103" ht="12.75" customHeight="1" x14ac:dyDescent="0.3">
      <c r="A193" s="155"/>
      <c r="B193" s="134"/>
      <c r="C193" s="134"/>
      <c r="D193" s="134"/>
      <c r="E193" s="157"/>
      <c r="F193" s="157"/>
      <c r="G193" s="157"/>
      <c r="H193" s="157"/>
      <c r="I193" s="158"/>
      <c r="J193" s="159"/>
      <c r="K193" s="159"/>
      <c r="L193" s="159"/>
      <c r="M193" s="160"/>
      <c r="N193" s="160"/>
      <c r="O193" s="160"/>
      <c r="P193" s="158"/>
      <c r="Q193" s="158"/>
      <c r="R193" s="158"/>
      <c r="S193" s="158"/>
      <c r="T193" s="158"/>
      <c r="U193" s="158"/>
      <c r="V193" s="159"/>
      <c r="W193" s="159"/>
      <c r="X193" s="159"/>
      <c r="Y193" s="158"/>
      <c r="Z193" s="159"/>
      <c r="AA193" s="160"/>
      <c r="AB193" s="160"/>
      <c r="AC193" s="160"/>
      <c r="AD193" s="160"/>
      <c r="AE193" s="160"/>
      <c r="AF193" s="159"/>
      <c r="AG193" s="159"/>
      <c r="AH193" s="159"/>
      <c r="AI193" s="159"/>
      <c r="AJ193" s="159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  <c r="BJ193" s="167"/>
      <c r="BK193" s="167"/>
      <c r="BL193" s="167"/>
      <c r="BM193" s="167"/>
      <c r="BN193" s="167"/>
      <c r="BO193" s="167"/>
      <c r="BP193" s="167"/>
      <c r="BQ193" s="167"/>
      <c r="BR193" s="167"/>
      <c r="BS193" s="167"/>
      <c r="BT193" s="167"/>
      <c r="BU193" s="167"/>
      <c r="BV193" s="167"/>
      <c r="BW193" s="159"/>
      <c r="BX193" s="159"/>
      <c r="BY193" s="159"/>
      <c r="BZ193" s="159"/>
      <c r="CA193" s="159"/>
      <c r="CB193" s="159"/>
      <c r="CC193" s="159"/>
      <c r="CD193" s="159"/>
      <c r="CE193" s="159"/>
      <c r="CF193" s="159"/>
      <c r="CG193" s="159"/>
      <c r="CH193" s="159"/>
      <c r="CI193" s="159"/>
      <c r="CJ193" s="159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159"/>
      <c r="CV193" s="159"/>
      <c r="CW193" s="159"/>
      <c r="CX193" s="159"/>
      <c r="CY193" s="134"/>
    </row>
    <row r="194" spans="1:103" ht="12.75" customHeight="1" x14ac:dyDescent="0.3">
      <c r="A194" s="155"/>
      <c r="B194" s="134"/>
      <c r="C194" s="134"/>
      <c r="D194" s="134"/>
      <c r="E194" s="157"/>
      <c r="F194" s="157"/>
      <c r="G194" s="157"/>
      <c r="H194" s="157"/>
      <c r="I194" s="158"/>
      <c r="J194" s="159"/>
      <c r="K194" s="159"/>
      <c r="L194" s="159"/>
      <c r="M194" s="160"/>
      <c r="N194" s="160"/>
      <c r="O194" s="160"/>
      <c r="P194" s="158"/>
      <c r="Q194" s="158"/>
      <c r="R194" s="158"/>
      <c r="S194" s="158"/>
      <c r="T194" s="158"/>
      <c r="U194" s="158"/>
      <c r="V194" s="159"/>
      <c r="W194" s="159"/>
      <c r="X194" s="159"/>
      <c r="Y194" s="158"/>
      <c r="Z194" s="159"/>
      <c r="AA194" s="160"/>
      <c r="AB194" s="160"/>
      <c r="AC194" s="160"/>
      <c r="AD194" s="160"/>
      <c r="AE194" s="160"/>
      <c r="AF194" s="159"/>
      <c r="AG194" s="159"/>
      <c r="AH194" s="159"/>
      <c r="AI194" s="159"/>
      <c r="AJ194" s="159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  <c r="BJ194" s="167"/>
      <c r="BK194" s="167"/>
      <c r="BL194" s="167"/>
      <c r="BM194" s="167"/>
      <c r="BN194" s="167"/>
      <c r="BO194" s="167"/>
      <c r="BP194" s="167"/>
      <c r="BQ194" s="167"/>
      <c r="BR194" s="167"/>
      <c r="BS194" s="167"/>
      <c r="BT194" s="167"/>
      <c r="BU194" s="167"/>
      <c r="BV194" s="167"/>
      <c r="BW194" s="159"/>
      <c r="BX194" s="159"/>
      <c r="BY194" s="159"/>
      <c r="BZ194" s="159"/>
      <c r="CA194" s="159"/>
      <c r="CB194" s="159"/>
      <c r="CC194" s="159"/>
      <c r="CD194" s="159"/>
      <c r="CE194" s="159"/>
      <c r="CF194" s="159"/>
      <c r="CG194" s="159"/>
      <c r="CH194" s="159"/>
      <c r="CI194" s="159"/>
      <c r="CJ194" s="159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159"/>
      <c r="CV194" s="159"/>
      <c r="CW194" s="159"/>
      <c r="CX194" s="159"/>
      <c r="CY194" s="134"/>
    </row>
    <row r="195" spans="1:103" ht="12.75" customHeight="1" x14ac:dyDescent="0.3">
      <c r="A195" s="155"/>
      <c r="B195" s="134"/>
      <c r="C195" s="134"/>
      <c r="D195" s="134"/>
      <c r="E195" s="157"/>
      <c r="F195" s="157"/>
      <c r="G195" s="157"/>
      <c r="H195" s="157"/>
      <c r="I195" s="158"/>
      <c r="J195" s="159"/>
      <c r="K195" s="159"/>
      <c r="L195" s="159"/>
      <c r="M195" s="160"/>
      <c r="N195" s="160"/>
      <c r="O195" s="160"/>
      <c r="P195" s="158"/>
      <c r="Q195" s="158"/>
      <c r="R195" s="158"/>
      <c r="S195" s="158"/>
      <c r="T195" s="158"/>
      <c r="U195" s="158"/>
      <c r="V195" s="159"/>
      <c r="W195" s="159"/>
      <c r="X195" s="159"/>
      <c r="Y195" s="158"/>
      <c r="Z195" s="159"/>
      <c r="AA195" s="160"/>
      <c r="AB195" s="160"/>
      <c r="AC195" s="160"/>
      <c r="AD195" s="160"/>
      <c r="AE195" s="160"/>
      <c r="AF195" s="159"/>
      <c r="AG195" s="159"/>
      <c r="AH195" s="159"/>
      <c r="AI195" s="159"/>
      <c r="AJ195" s="159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  <c r="BJ195" s="167"/>
      <c r="BK195" s="167"/>
      <c r="BL195" s="167"/>
      <c r="BM195" s="167"/>
      <c r="BN195" s="167"/>
      <c r="BO195" s="167"/>
      <c r="BP195" s="167"/>
      <c r="BQ195" s="167"/>
      <c r="BR195" s="167"/>
      <c r="BS195" s="167"/>
      <c r="BT195" s="167"/>
      <c r="BU195" s="167"/>
      <c r="BV195" s="167"/>
      <c r="BW195" s="159"/>
      <c r="BX195" s="159"/>
      <c r="BY195" s="159"/>
      <c r="BZ195" s="159"/>
      <c r="CA195" s="159"/>
      <c r="CB195" s="159"/>
      <c r="CC195" s="159"/>
      <c r="CD195" s="159"/>
      <c r="CE195" s="159"/>
      <c r="CF195" s="159"/>
      <c r="CG195" s="159"/>
      <c r="CH195" s="159"/>
      <c r="CI195" s="159"/>
      <c r="CJ195" s="159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159"/>
      <c r="CV195" s="159"/>
      <c r="CW195" s="159"/>
      <c r="CX195" s="159"/>
      <c r="CY195" s="134"/>
    </row>
    <row r="196" spans="1:103" ht="12.75" customHeight="1" x14ac:dyDescent="0.3">
      <c r="A196" s="155"/>
      <c r="B196" s="134"/>
      <c r="C196" s="134"/>
      <c r="D196" s="134"/>
      <c r="E196" s="157"/>
      <c r="F196" s="157"/>
      <c r="G196" s="157"/>
      <c r="H196" s="157"/>
      <c r="I196" s="158"/>
      <c r="J196" s="159"/>
      <c r="K196" s="159"/>
      <c r="L196" s="159"/>
      <c r="M196" s="160"/>
      <c r="N196" s="160"/>
      <c r="O196" s="160"/>
      <c r="P196" s="158"/>
      <c r="Q196" s="158"/>
      <c r="R196" s="158"/>
      <c r="S196" s="158"/>
      <c r="T196" s="158"/>
      <c r="U196" s="158"/>
      <c r="V196" s="159"/>
      <c r="W196" s="159"/>
      <c r="X196" s="159"/>
      <c r="Y196" s="158"/>
      <c r="Z196" s="159"/>
      <c r="AA196" s="160"/>
      <c r="AB196" s="160"/>
      <c r="AC196" s="160"/>
      <c r="AD196" s="160"/>
      <c r="AE196" s="160"/>
      <c r="AF196" s="159"/>
      <c r="AG196" s="159"/>
      <c r="AH196" s="159"/>
      <c r="AI196" s="159"/>
      <c r="AJ196" s="159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  <c r="BJ196" s="167"/>
      <c r="BK196" s="167"/>
      <c r="BL196" s="167"/>
      <c r="BM196" s="167"/>
      <c r="BN196" s="167"/>
      <c r="BO196" s="167"/>
      <c r="BP196" s="167"/>
      <c r="BQ196" s="167"/>
      <c r="BR196" s="167"/>
      <c r="BS196" s="167"/>
      <c r="BT196" s="167"/>
      <c r="BU196" s="167"/>
      <c r="BV196" s="167"/>
      <c r="BW196" s="159"/>
      <c r="BX196" s="159"/>
      <c r="BY196" s="159"/>
      <c r="BZ196" s="159"/>
      <c r="CA196" s="159"/>
      <c r="CB196" s="159"/>
      <c r="CC196" s="159"/>
      <c r="CD196" s="159"/>
      <c r="CE196" s="159"/>
      <c r="CF196" s="159"/>
      <c r="CG196" s="159"/>
      <c r="CH196" s="159"/>
      <c r="CI196" s="159"/>
      <c r="CJ196" s="159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159"/>
      <c r="CV196" s="159"/>
      <c r="CW196" s="159"/>
      <c r="CX196" s="159"/>
      <c r="CY196" s="134"/>
    </row>
    <row r="197" spans="1:103" ht="12.75" customHeight="1" x14ac:dyDescent="0.3">
      <c r="A197" s="155"/>
      <c r="B197" s="134"/>
      <c r="C197" s="134"/>
      <c r="D197" s="134"/>
      <c r="E197" s="157"/>
      <c r="F197" s="157"/>
      <c r="G197" s="157"/>
      <c r="H197" s="157"/>
      <c r="I197" s="158"/>
      <c r="J197" s="159"/>
      <c r="K197" s="159"/>
      <c r="L197" s="159"/>
      <c r="M197" s="160"/>
      <c r="N197" s="160"/>
      <c r="O197" s="160"/>
      <c r="P197" s="158"/>
      <c r="Q197" s="158"/>
      <c r="R197" s="158"/>
      <c r="S197" s="158"/>
      <c r="T197" s="158"/>
      <c r="U197" s="158"/>
      <c r="V197" s="159"/>
      <c r="W197" s="159"/>
      <c r="X197" s="159"/>
      <c r="Y197" s="158"/>
      <c r="Z197" s="159"/>
      <c r="AA197" s="160"/>
      <c r="AB197" s="160"/>
      <c r="AC197" s="160"/>
      <c r="AD197" s="160"/>
      <c r="AE197" s="160"/>
      <c r="AF197" s="159"/>
      <c r="AG197" s="159"/>
      <c r="AH197" s="159"/>
      <c r="AI197" s="159"/>
      <c r="AJ197" s="159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  <c r="BJ197" s="167"/>
      <c r="BK197" s="167"/>
      <c r="BL197" s="167"/>
      <c r="BM197" s="167"/>
      <c r="BN197" s="167"/>
      <c r="BO197" s="167"/>
      <c r="BP197" s="167"/>
      <c r="BQ197" s="167"/>
      <c r="BR197" s="167"/>
      <c r="BS197" s="167"/>
      <c r="BT197" s="167"/>
      <c r="BU197" s="167"/>
      <c r="BV197" s="167"/>
      <c r="BW197" s="159"/>
      <c r="BX197" s="159"/>
      <c r="BY197" s="159"/>
      <c r="BZ197" s="159"/>
      <c r="CA197" s="159"/>
      <c r="CB197" s="159"/>
      <c r="CC197" s="159"/>
      <c r="CD197" s="159"/>
      <c r="CE197" s="159"/>
      <c r="CF197" s="159"/>
      <c r="CG197" s="159"/>
      <c r="CH197" s="159"/>
      <c r="CI197" s="159"/>
      <c r="CJ197" s="159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159"/>
      <c r="CV197" s="159"/>
      <c r="CW197" s="159"/>
      <c r="CX197" s="159"/>
      <c r="CY197" s="134"/>
    </row>
    <row r="198" spans="1:103" ht="12.75" customHeight="1" x14ac:dyDescent="0.3">
      <c r="A198" s="155"/>
      <c r="B198" s="134"/>
      <c r="C198" s="134"/>
      <c r="D198" s="134"/>
      <c r="E198" s="157"/>
      <c r="F198" s="157"/>
      <c r="G198" s="157"/>
      <c r="H198" s="157"/>
      <c r="I198" s="158"/>
      <c r="J198" s="159"/>
      <c r="K198" s="159"/>
      <c r="L198" s="159"/>
      <c r="M198" s="160"/>
      <c r="N198" s="160"/>
      <c r="O198" s="160"/>
      <c r="P198" s="158"/>
      <c r="Q198" s="158"/>
      <c r="R198" s="158"/>
      <c r="S198" s="158"/>
      <c r="T198" s="158"/>
      <c r="U198" s="158"/>
      <c r="V198" s="159"/>
      <c r="W198" s="159"/>
      <c r="X198" s="159"/>
      <c r="Y198" s="158"/>
      <c r="Z198" s="159"/>
      <c r="AA198" s="160"/>
      <c r="AB198" s="160"/>
      <c r="AC198" s="160"/>
      <c r="AD198" s="160"/>
      <c r="AE198" s="160"/>
      <c r="AF198" s="159"/>
      <c r="AG198" s="159"/>
      <c r="AH198" s="159"/>
      <c r="AI198" s="159"/>
      <c r="AJ198" s="159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  <c r="BJ198" s="167"/>
      <c r="BK198" s="167"/>
      <c r="BL198" s="167"/>
      <c r="BM198" s="167"/>
      <c r="BN198" s="167"/>
      <c r="BO198" s="167"/>
      <c r="BP198" s="167"/>
      <c r="BQ198" s="167"/>
      <c r="BR198" s="167"/>
      <c r="BS198" s="167"/>
      <c r="BT198" s="167"/>
      <c r="BU198" s="167"/>
      <c r="BV198" s="167"/>
      <c r="BW198" s="159"/>
      <c r="BX198" s="159"/>
      <c r="BY198" s="159"/>
      <c r="BZ198" s="159"/>
      <c r="CA198" s="159"/>
      <c r="CB198" s="159"/>
      <c r="CC198" s="159"/>
      <c r="CD198" s="159"/>
      <c r="CE198" s="159"/>
      <c r="CF198" s="159"/>
      <c r="CG198" s="159"/>
      <c r="CH198" s="159"/>
      <c r="CI198" s="159"/>
      <c r="CJ198" s="159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159"/>
      <c r="CV198" s="159"/>
      <c r="CW198" s="159"/>
      <c r="CX198" s="159"/>
      <c r="CY198" s="134"/>
    </row>
    <row r="199" spans="1:103" ht="12.75" customHeight="1" x14ac:dyDescent="0.3">
      <c r="A199" s="155"/>
      <c r="B199" s="134"/>
      <c r="C199" s="134"/>
      <c r="D199" s="134"/>
      <c r="E199" s="157"/>
      <c r="F199" s="157"/>
      <c r="G199" s="157"/>
      <c r="H199" s="157"/>
      <c r="I199" s="158"/>
      <c r="J199" s="159"/>
      <c r="K199" s="159"/>
      <c r="L199" s="159"/>
      <c r="M199" s="160"/>
      <c r="N199" s="160"/>
      <c r="O199" s="160"/>
      <c r="P199" s="158"/>
      <c r="Q199" s="158"/>
      <c r="R199" s="158"/>
      <c r="S199" s="158"/>
      <c r="T199" s="158"/>
      <c r="U199" s="158"/>
      <c r="V199" s="159"/>
      <c r="W199" s="159"/>
      <c r="X199" s="159"/>
      <c r="Y199" s="158"/>
      <c r="Z199" s="159"/>
      <c r="AA199" s="160"/>
      <c r="AB199" s="160"/>
      <c r="AC199" s="160"/>
      <c r="AD199" s="160"/>
      <c r="AE199" s="160"/>
      <c r="AF199" s="159"/>
      <c r="AG199" s="159"/>
      <c r="AH199" s="159"/>
      <c r="AI199" s="159"/>
      <c r="AJ199" s="159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  <c r="BJ199" s="167"/>
      <c r="BK199" s="167"/>
      <c r="BL199" s="167"/>
      <c r="BM199" s="167"/>
      <c r="BN199" s="167"/>
      <c r="BO199" s="167"/>
      <c r="BP199" s="167"/>
      <c r="BQ199" s="167"/>
      <c r="BR199" s="167"/>
      <c r="BS199" s="167"/>
      <c r="BT199" s="167"/>
      <c r="BU199" s="167"/>
      <c r="BV199" s="167"/>
      <c r="BW199" s="159"/>
      <c r="BX199" s="159"/>
      <c r="BY199" s="159"/>
      <c r="BZ199" s="159"/>
      <c r="CA199" s="159"/>
      <c r="CB199" s="159"/>
      <c r="CC199" s="159"/>
      <c r="CD199" s="159"/>
      <c r="CE199" s="159"/>
      <c r="CF199" s="159"/>
      <c r="CG199" s="159"/>
      <c r="CH199" s="159"/>
      <c r="CI199" s="159"/>
      <c r="CJ199" s="159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159"/>
      <c r="CV199" s="159"/>
      <c r="CW199" s="159"/>
      <c r="CX199" s="159"/>
      <c r="CY199" s="134"/>
    </row>
    <row r="200" spans="1:103" ht="12.75" customHeight="1" x14ac:dyDescent="0.3">
      <c r="A200" s="155"/>
      <c r="B200" s="134"/>
      <c r="C200" s="134"/>
      <c r="D200" s="134"/>
      <c r="E200" s="157"/>
      <c r="F200" s="157"/>
      <c r="G200" s="157"/>
      <c r="H200" s="157"/>
      <c r="I200" s="158"/>
      <c r="J200" s="159"/>
      <c r="K200" s="159"/>
      <c r="L200" s="159"/>
      <c r="M200" s="160"/>
      <c r="N200" s="160"/>
      <c r="O200" s="160"/>
      <c r="P200" s="158"/>
      <c r="Q200" s="158"/>
      <c r="R200" s="158"/>
      <c r="S200" s="158"/>
      <c r="T200" s="158"/>
      <c r="U200" s="158"/>
      <c r="V200" s="159"/>
      <c r="W200" s="159"/>
      <c r="X200" s="159"/>
      <c r="Y200" s="158"/>
      <c r="Z200" s="159"/>
      <c r="AA200" s="160"/>
      <c r="AB200" s="160"/>
      <c r="AC200" s="160"/>
      <c r="AD200" s="160"/>
      <c r="AE200" s="160"/>
      <c r="AF200" s="159"/>
      <c r="AG200" s="159"/>
      <c r="AH200" s="159"/>
      <c r="AI200" s="159"/>
      <c r="AJ200" s="159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  <c r="BJ200" s="167"/>
      <c r="BK200" s="167"/>
      <c r="BL200" s="167"/>
      <c r="BM200" s="167"/>
      <c r="BN200" s="167"/>
      <c r="BO200" s="167"/>
      <c r="BP200" s="167"/>
      <c r="BQ200" s="167"/>
      <c r="BR200" s="167"/>
      <c r="BS200" s="167"/>
      <c r="BT200" s="167"/>
      <c r="BU200" s="167"/>
      <c r="BV200" s="167"/>
      <c r="BW200" s="159"/>
      <c r="BX200" s="159"/>
      <c r="BY200" s="159"/>
      <c r="BZ200" s="159"/>
      <c r="CA200" s="159"/>
      <c r="CB200" s="159"/>
      <c r="CC200" s="159"/>
      <c r="CD200" s="159"/>
      <c r="CE200" s="159"/>
      <c r="CF200" s="159"/>
      <c r="CG200" s="159"/>
      <c r="CH200" s="159"/>
      <c r="CI200" s="159"/>
      <c r="CJ200" s="159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159"/>
      <c r="CV200" s="159"/>
      <c r="CW200" s="159"/>
      <c r="CX200" s="159"/>
      <c r="CY200" s="134"/>
    </row>
    <row r="201" spans="1:103" ht="12.75" customHeight="1" x14ac:dyDescent="0.3">
      <c r="A201" s="155"/>
      <c r="B201" s="134"/>
      <c r="C201" s="134"/>
      <c r="D201" s="134"/>
      <c r="E201" s="157"/>
      <c r="F201" s="157"/>
      <c r="G201" s="157"/>
      <c r="H201" s="157"/>
      <c r="I201" s="158"/>
      <c r="J201" s="159"/>
      <c r="K201" s="159"/>
      <c r="L201" s="159"/>
      <c r="M201" s="160"/>
      <c r="N201" s="160"/>
      <c r="O201" s="160"/>
      <c r="P201" s="158"/>
      <c r="Q201" s="158"/>
      <c r="R201" s="158"/>
      <c r="S201" s="158"/>
      <c r="T201" s="158"/>
      <c r="U201" s="158"/>
      <c r="V201" s="159"/>
      <c r="W201" s="159"/>
      <c r="X201" s="159"/>
      <c r="Y201" s="158"/>
      <c r="Z201" s="159"/>
      <c r="AA201" s="160"/>
      <c r="AB201" s="160"/>
      <c r="AC201" s="160"/>
      <c r="AD201" s="160"/>
      <c r="AE201" s="160"/>
      <c r="AF201" s="159"/>
      <c r="AG201" s="159"/>
      <c r="AH201" s="159"/>
      <c r="AI201" s="159"/>
      <c r="AJ201" s="159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167"/>
      <c r="BK201" s="167"/>
      <c r="BL201" s="167"/>
      <c r="BM201" s="167"/>
      <c r="BN201" s="167"/>
      <c r="BO201" s="167"/>
      <c r="BP201" s="167"/>
      <c r="BQ201" s="167"/>
      <c r="BR201" s="167"/>
      <c r="BS201" s="167"/>
      <c r="BT201" s="167"/>
      <c r="BU201" s="167"/>
      <c r="BV201" s="167"/>
      <c r="BW201" s="159"/>
      <c r="BX201" s="159"/>
      <c r="BY201" s="159"/>
      <c r="BZ201" s="159"/>
      <c r="CA201" s="159"/>
      <c r="CB201" s="159"/>
      <c r="CC201" s="159"/>
      <c r="CD201" s="159"/>
      <c r="CE201" s="159"/>
      <c r="CF201" s="159"/>
      <c r="CG201" s="159"/>
      <c r="CH201" s="159"/>
      <c r="CI201" s="159"/>
      <c r="CJ201" s="159"/>
      <c r="CK201" s="159"/>
      <c r="CL201" s="159"/>
      <c r="CM201" s="159"/>
      <c r="CN201" s="159"/>
      <c r="CO201" s="159"/>
      <c r="CP201" s="159"/>
      <c r="CQ201" s="159"/>
      <c r="CR201" s="159"/>
      <c r="CS201" s="159"/>
      <c r="CT201" s="159"/>
      <c r="CU201" s="159"/>
      <c r="CV201" s="159"/>
      <c r="CW201" s="159"/>
      <c r="CX201" s="159"/>
      <c r="CY201" s="134"/>
    </row>
    <row r="202" spans="1:103" ht="12.75" customHeight="1" x14ac:dyDescent="0.3">
      <c r="A202" s="155"/>
      <c r="B202" s="134"/>
      <c r="C202" s="134"/>
      <c r="D202" s="134"/>
      <c r="E202" s="157"/>
      <c r="F202" s="157"/>
      <c r="G202" s="157"/>
      <c r="H202" s="157"/>
      <c r="I202" s="158"/>
      <c r="J202" s="159"/>
      <c r="K202" s="159"/>
      <c r="L202" s="159"/>
      <c r="M202" s="160"/>
      <c r="N202" s="160"/>
      <c r="O202" s="160"/>
      <c r="P202" s="158"/>
      <c r="Q202" s="158"/>
      <c r="R202" s="158"/>
      <c r="S202" s="158"/>
      <c r="T202" s="158"/>
      <c r="U202" s="158"/>
      <c r="V202" s="159"/>
      <c r="W202" s="159"/>
      <c r="X202" s="159"/>
      <c r="Y202" s="158"/>
      <c r="Z202" s="159"/>
      <c r="AA202" s="160"/>
      <c r="AB202" s="160"/>
      <c r="AC202" s="160"/>
      <c r="AD202" s="160"/>
      <c r="AE202" s="160"/>
      <c r="AF202" s="159"/>
      <c r="AG202" s="159"/>
      <c r="AH202" s="159"/>
      <c r="AI202" s="159"/>
      <c r="AJ202" s="159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167"/>
      <c r="BK202" s="167"/>
      <c r="BL202" s="167"/>
      <c r="BM202" s="167"/>
      <c r="BN202" s="167"/>
      <c r="BO202" s="167"/>
      <c r="BP202" s="167"/>
      <c r="BQ202" s="167"/>
      <c r="BR202" s="167"/>
      <c r="BS202" s="167"/>
      <c r="BT202" s="167"/>
      <c r="BU202" s="167"/>
      <c r="BV202" s="167"/>
      <c r="BW202" s="159"/>
      <c r="BX202" s="159"/>
      <c r="BY202" s="159"/>
      <c r="BZ202" s="159"/>
      <c r="CA202" s="159"/>
      <c r="CB202" s="159"/>
      <c r="CC202" s="159"/>
      <c r="CD202" s="159"/>
      <c r="CE202" s="159"/>
      <c r="CF202" s="159"/>
      <c r="CG202" s="159"/>
      <c r="CH202" s="159"/>
      <c r="CI202" s="159"/>
      <c r="CJ202" s="159"/>
      <c r="CK202" s="159"/>
      <c r="CL202" s="159"/>
      <c r="CM202" s="159"/>
      <c r="CN202" s="159"/>
      <c r="CO202" s="159"/>
      <c r="CP202" s="159"/>
      <c r="CQ202" s="159"/>
      <c r="CR202" s="159"/>
      <c r="CS202" s="159"/>
      <c r="CT202" s="159"/>
      <c r="CU202" s="159"/>
      <c r="CV202" s="159"/>
      <c r="CW202" s="159"/>
      <c r="CX202" s="159"/>
      <c r="CY202" s="134"/>
    </row>
    <row r="203" spans="1:103" ht="12.75" customHeight="1" x14ac:dyDescent="0.3">
      <c r="A203" s="155"/>
      <c r="B203" s="134"/>
      <c r="C203" s="134"/>
      <c r="D203" s="134"/>
      <c r="E203" s="157"/>
      <c r="F203" s="157"/>
      <c r="G203" s="157"/>
      <c r="H203" s="157"/>
      <c r="I203" s="158"/>
      <c r="J203" s="159"/>
      <c r="K203" s="159"/>
      <c r="L203" s="159"/>
      <c r="M203" s="160"/>
      <c r="N203" s="160"/>
      <c r="O203" s="160"/>
      <c r="P203" s="158"/>
      <c r="Q203" s="158"/>
      <c r="R203" s="158"/>
      <c r="S203" s="158"/>
      <c r="T203" s="158"/>
      <c r="U203" s="158"/>
      <c r="V203" s="159"/>
      <c r="W203" s="159"/>
      <c r="X203" s="159"/>
      <c r="Y203" s="158"/>
      <c r="Z203" s="159"/>
      <c r="AA203" s="160"/>
      <c r="AB203" s="160"/>
      <c r="AC203" s="160"/>
      <c r="AD203" s="160"/>
      <c r="AE203" s="160"/>
      <c r="AF203" s="159"/>
      <c r="AG203" s="159"/>
      <c r="AH203" s="159"/>
      <c r="AI203" s="159"/>
      <c r="AJ203" s="159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67"/>
      <c r="BM203" s="167"/>
      <c r="BN203" s="167"/>
      <c r="BO203" s="167"/>
      <c r="BP203" s="167"/>
      <c r="BQ203" s="167"/>
      <c r="BR203" s="167"/>
      <c r="BS203" s="167"/>
      <c r="BT203" s="167"/>
      <c r="BU203" s="167"/>
      <c r="BV203" s="167"/>
      <c r="BW203" s="159"/>
      <c r="BX203" s="159"/>
      <c r="BY203" s="159"/>
      <c r="BZ203" s="159"/>
      <c r="CA203" s="159"/>
      <c r="CB203" s="159"/>
      <c r="CC203" s="159"/>
      <c r="CD203" s="159"/>
      <c r="CE203" s="159"/>
      <c r="CF203" s="159"/>
      <c r="CG203" s="159"/>
      <c r="CH203" s="159"/>
      <c r="CI203" s="159"/>
      <c r="CJ203" s="159"/>
      <c r="CK203" s="159"/>
      <c r="CL203" s="159"/>
      <c r="CM203" s="159"/>
      <c r="CN203" s="159"/>
      <c r="CO203" s="159"/>
      <c r="CP203" s="159"/>
      <c r="CQ203" s="159"/>
      <c r="CR203" s="159"/>
      <c r="CS203" s="159"/>
      <c r="CT203" s="159"/>
      <c r="CU203" s="159"/>
      <c r="CV203" s="159"/>
      <c r="CW203" s="159"/>
      <c r="CX203" s="159"/>
      <c r="CY203" s="134"/>
    </row>
    <row r="204" spans="1:103" ht="12.75" customHeight="1" x14ac:dyDescent="0.3">
      <c r="A204" s="155"/>
      <c r="B204" s="134"/>
      <c r="C204" s="134"/>
      <c r="D204" s="134"/>
      <c r="E204" s="157"/>
      <c r="F204" s="157"/>
      <c r="G204" s="157"/>
      <c r="H204" s="157"/>
      <c r="I204" s="158"/>
      <c r="J204" s="159"/>
      <c r="K204" s="159"/>
      <c r="L204" s="159"/>
      <c r="M204" s="160"/>
      <c r="N204" s="160"/>
      <c r="O204" s="160"/>
      <c r="P204" s="158"/>
      <c r="Q204" s="158"/>
      <c r="R204" s="158"/>
      <c r="S204" s="158"/>
      <c r="T204" s="158"/>
      <c r="U204" s="158"/>
      <c r="V204" s="159"/>
      <c r="W204" s="159"/>
      <c r="X204" s="159"/>
      <c r="Y204" s="158"/>
      <c r="Z204" s="159"/>
      <c r="AA204" s="160"/>
      <c r="AB204" s="160"/>
      <c r="AC204" s="160"/>
      <c r="AD204" s="160"/>
      <c r="AE204" s="160"/>
      <c r="AF204" s="159"/>
      <c r="AG204" s="159"/>
      <c r="AH204" s="159"/>
      <c r="AI204" s="159"/>
      <c r="AJ204" s="159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67"/>
      <c r="BM204" s="167"/>
      <c r="BN204" s="167"/>
      <c r="BO204" s="167"/>
      <c r="BP204" s="167"/>
      <c r="BQ204" s="167"/>
      <c r="BR204" s="167"/>
      <c r="BS204" s="167"/>
      <c r="BT204" s="167"/>
      <c r="BU204" s="167"/>
      <c r="BV204" s="167"/>
      <c r="BW204" s="159"/>
      <c r="BX204" s="159"/>
      <c r="BY204" s="159"/>
      <c r="BZ204" s="159"/>
      <c r="CA204" s="159"/>
      <c r="CB204" s="159"/>
      <c r="CC204" s="159"/>
      <c r="CD204" s="159"/>
      <c r="CE204" s="159"/>
      <c r="CF204" s="159"/>
      <c r="CG204" s="159"/>
      <c r="CH204" s="159"/>
      <c r="CI204" s="159"/>
      <c r="CJ204" s="159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59"/>
      <c r="CW204" s="159"/>
      <c r="CX204" s="159"/>
      <c r="CY204" s="134"/>
    </row>
    <row r="205" spans="1:103" ht="12.75" customHeight="1" x14ac:dyDescent="0.3">
      <c r="A205" s="155"/>
      <c r="B205" s="134"/>
      <c r="C205" s="134"/>
      <c r="D205" s="134"/>
      <c r="E205" s="157"/>
      <c r="F205" s="157"/>
      <c r="G205" s="157"/>
      <c r="H205" s="157"/>
      <c r="I205" s="158"/>
      <c r="J205" s="159"/>
      <c r="K205" s="159"/>
      <c r="L205" s="159"/>
      <c r="M205" s="160"/>
      <c r="N205" s="160"/>
      <c r="O205" s="160"/>
      <c r="P205" s="158"/>
      <c r="Q205" s="158"/>
      <c r="R205" s="158"/>
      <c r="S205" s="158"/>
      <c r="T205" s="158"/>
      <c r="U205" s="158"/>
      <c r="V205" s="159"/>
      <c r="W205" s="159"/>
      <c r="X205" s="159"/>
      <c r="Y205" s="158"/>
      <c r="Z205" s="159"/>
      <c r="AA205" s="160"/>
      <c r="AB205" s="160"/>
      <c r="AC205" s="160"/>
      <c r="AD205" s="160"/>
      <c r="AE205" s="160"/>
      <c r="AF205" s="159"/>
      <c r="AG205" s="159"/>
      <c r="AH205" s="159"/>
      <c r="AI205" s="159"/>
      <c r="AJ205" s="159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67"/>
      <c r="BM205" s="167"/>
      <c r="BN205" s="167"/>
      <c r="BO205" s="167"/>
      <c r="BP205" s="167"/>
      <c r="BQ205" s="167"/>
      <c r="BR205" s="167"/>
      <c r="BS205" s="167"/>
      <c r="BT205" s="167"/>
      <c r="BU205" s="167"/>
      <c r="BV205" s="167"/>
      <c r="BW205" s="159"/>
      <c r="BX205" s="159"/>
      <c r="BY205" s="159"/>
      <c r="BZ205" s="159"/>
      <c r="CA205" s="159"/>
      <c r="CB205" s="159"/>
      <c r="CC205" s="159"/>
      <c r="CD205" s="159"/>
      <c r="CE205" s="159"/>
      <c r="CF205" s="159"/>
      <c r="CG205" s="159"/>
      <c r="CH205" s="159"/>
      <c r="CI205" s="159"/>
      <c r="CJ205" s="159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159"/>
      <c r="CV205" s="159"/>
      <c r="CW205" s="159"/>
      <c r="CX205" s="159"/>
      <c r="CY205" s="134"/>
    </row>
    <row r="206" spans="1:103" ht="12.75" customHeight="1" x14ac:dyDescent="0.3">
      <c r="A206" s="155"/>
      <c r="B206" s="134"/>
      <c r="C206" s="134"/>
      <c r="D206" s="134"/>
      <c r="E206" s="157"/>
      <c r="F206" s="157"/>
      <c r="G206" s="157"/>
      <c r="H206" s="157"/>
      <c r="I206" s="158"/>
      <c r="J206" s="159"/>
      <c r="K206" s="159"/>
      <c r="L206" s="159"/>
      <c r="M206" s="160"/>
      <c r="N206" s="160"/>
      <c r="O206" s="160"/>
      <c r="P206" s="158"/>
      <c r="Q206" s="158"/>
      <c r="R206" s="158"/>
      <c r="S206" s="158"/>
      <c r="T206" s="158"/>
      <c r="U206" s="158"/>
      <c r="V206" s="159"/>
      <c r="W206" s="159"/>
      <c r="X206" s="159"/>
      <c r="Y206" s="158"/>
      <c r="Z206" s="159"/>
      <c r="AA206" s="160"/>
      <c r="AB206" s="160"/>
      <c r="AC206" s="160"/>
      <c r="AD206" s="160"/>
      <c r="AE206" s="160"/>
      <c r="AF206" s="159"/>
      <c r="AG206" s="159"/>
      <c r="AH206" s="159"/>
      <c r="AI206" s="159"/>
      <c r="AJ206" s="159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167"/>
      <c r="BK206" s="167"/>
      <c r="BL206" s="167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59"/>
      <c r="BX206" s="159"/>
      <c r="BY206" s="159"/>
      <c r="BZ206" s="159"/>
      <c r="CA206" s="159"/>
      <c r="CB206" s="159"/>
      <c r="CC206" s="159"/>
      <c r="CD206" s="159"/>
      <c r="CE206" s="159"/>
      <c r="CF206" s="159"/>
      <c r="CG206" s="159"/>
      <c r="CH206" s="159"/>
      <c r="CI206" s="159"/>
      <c r="CJ206" s="159"/>
      <c r="CK206" s="159"/>
      <c r="CL206" s="159"/>
      <c r="CM206" s="159"/>
      <c r="CN206" s="159"/>
      <c r="CO206" s="159"/>
      <c r="CP206" s="159"/>
      <c r="CQ206" s="159"/>
      <c r="CR206" s="159"/>
      <c r="CS206" s="159"/>
      <c r="CT206" s="159"/>
      <c r="CU206" s="159"/>
      <c r="CV206" s="159"/>
      <c r="CW206" s="159"/>
      <c r="CX206" s="159"/>
      <c r="CY206" s="134"/>
    </row>
    <row r="207" spans="1:103" ht="12.75" customHeight="1" x14ac:dyDescent="0.3">
      <c r="A207" s="155"/>
      <c r="B207" s="134"/>
      <c r="C207" s="134"/>
      <c r="D207" s="134"/>
      <c r="E207" s="157"/>
      <c r="F207" s="157"/>
      <c r="G207" s="157"/>
      <c r="H207" s="157"/>
      <c r="I207" s="158"/>
      <c r="J207" s="159"/>
      <c r="K207" s="159"/>
      <c r="L207" s="159"/>
      <c r="M207" s="160"/>
      <c r="N207" s="160"/>
      <c r="O207" s="160"/>
      <c r="P207" s="158"/>
      <c r="Q207" s="158"/>
      <c r="R207" s="158"/>
      <c r="S207" s="158"/>
      <c r="T207" s="158"/>
      <c r="U207" s="158"/>
      <c r="V207" s="159"/>
      <c r="W207" s="159"/>
      <c r="X207" s="159"/>
      <c r="Y207" s="158"/>
      <c r="Z207" s="159"/>
      <c r="AA207" s="160"/>
      <c r="AB207" s="160"/>
      <c r="AC207" s="160"/>
      <c r="AD207" s="160"/>
      <c r="AE207" s="160"/>
      <c r="AF207" s="159"/>
      <c r="AG207" s="159"/>
      <c r="AH207" s="159"/>
      <c r="AI207" s="159"/>
      <c r="AJ207" s="159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59"/>
      <c r="BX207" s="159"/>
      <c r="BY207" s="159"/>
      <c r="BZ207" s="159"/>
      <c r="CA207" s="159"/>
      <c r="CB207" s="159"/>
      <c r="CC207" s="159"/>
      <c r="CD207" s="159"/>
      <c r="CE207" s="159"/>
      <c r="CF207" s="159"/>
      <c r="CG207" s="159"/>
      <c r="CH207" s="159"/>
      <c r="CI207" s="159"/>
      <c r="CJ207" s="159"/>
      <c r="CK207" s="159"/>
      <c r="CL207" s="159"/>
      <c r="CM207" s="159"/>
      <c r="CN207" s="159"/>
      <c r="CO207" s="159"/>
      <c r="CP207" s="159"/>
      <c r="CQ207" s="159"/>
      <c r="CR207" s="159"/>
      <c r="CS207" s="159"/>
      <c r="CT207" s="159"/>
      <c r="CU207" s="159"/>
      <c r="CV207" s="159"/>
      <c r="CW207" s="159"/>
      <c r="CX207" s="159"/>
      <c r="CY207" s="134"/>
    </row>
    <row r="208" spans="1:103" ht="12.75" customHeight="1" x14ac:dyDescent="0.3">
      <c r="A208" s="155"/>
      <c r="B208" s="134"/>
      <c r="C208" s="134"/>
      <c r="D208" s="134"/>
      <c r="E208" s="157"/>
      <c r="F208" s="157"/>
      <c r="G208" s="157"/>
      <c r="H208" s="157"/>
      <c r="I208" s="158"/>
      <c r="J208" s="159"/>
      <c r="K208" s="159"/>
      <c r="L208" s="159"/>
      <c r="M208" s="160"/>
      <c r="N208" s="160"/>
      <c r="O208" s="160"/>
      <c r="P208" s="158"/>
      <c r="Q208" s="158"/>
      <c r="R208" s="158"/>
      <c r="S208" s="158"/>
      <c r="T208" s="158"/>
      <c r="U208" s="158"/>
      <c r="V208" s="159"/>
      <c r="W208" s="159"/>
      <c r="X208" s="159"/>
      <c r="Y208" s="158"/>
      <c r="Z208" s="159"/>
      <c r="AA208" s="160"/>
      <c r="AB208" s="160"/>
      <c r="AC208" s="160"/>
      <c r="AD208" s="160"/>
      <c r="AE208" s="160"/>
      <c r="AF208" s="159"/>
      <c r="AG208" s="159"/>
      <c r="AH208" s="159"/>
      <c r="AI208" s="159"/>
      <c r="AJ208" s="159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59"/>
      <c r="BX208" s="159"/>
      <c r="BY208" s="159"/>
      <c r="BZ208" s="159"/>
      <c r="CA208" s="159"/>
      <c r="CB208" s="159"/>
      <c r="CC208" s="159"/>
      <c r="CD208" s="159"/>
      <c r="CE208" s="159"/>
      <c r="CF208" s="159"/>
      <c r="CG208" s="159"/>
      <c r="CH208" s="159"/>
      <c r="CI208" s="159"/>
      <c r="CJ208" s="159"/>
      <c r="CK208" s="159"/>
      <c r="CL208" s="159"/>
      <c r="CM208" s="159"/>
      <c r="CN208" s="159"/>
      <c r="CO208" s="159"/>
      <c r="CP208" s="159"/>
      <c r="CQ208" s="159"/>
      <c r="CR208" s="159"/>
      <c r="CS208" s="159"/>
      <c r="CT208" s="159"/>
      <c r="CU208" s="159"/>
      <c r="CV208" s="159"/>
      <c r="CW208" s="159"/>
      <c r="CX208" s="159"/>
      <c r="CY208" s="134"/>
    </row>
    <row r="209" spans="1:103" ht="12.75" customHeight="1" x14ac:dyDescent="0.3">
      <c r="A209" s="155"/>
      <c r="B209" s="134"/>
      <c r="C209" s="134"/>
      <c r="D209" s="134"/>
      <c r="E209" s="157"/>
      <c r="F209" s="157"/>
      <c r="G209" s="157"/>
      <c r="H209" s="157"/>
      <c r="I209" s="158"/>
      <c r="J209" s="159"/>
      <c r="K209" s="159"/>
      <c r="L209" s="159"/>
      <c r="M209" s="160"/>
      <c r="N209" s="160"/>
      <c r="O209" s="160"/>
      <c r="P209" s="158"/>
      <c r="Q209" s="158"/>
      <c r="R209" s="158"/>
      <c r="S209" s="158"/>
      <c r="T209" s="158"/>
      <c r="U209" s="158"/>
      <c r="V209" s="159"/>
      <c r="W209" s="159"/>
      <c r="X209" s="159"/>
      <c r="Y209" s="158"/>
      <c r="Z209" s="159"/>
      <c r="AA209" s="160"/>
      <c r="AB209" s="160"/>
      <c r="AC209" s="160"/>
      <c r="AD209" s="160"/>
      <c r="AE209" s="160"/>
      <c r="AF209" s="159"/>
      <c r="AG209" s="159"/>
      <c r="AH209" s="159"/>
      <c r="AI209" s="159"/>
      <c r="AJ209" s="159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59"/>
      <c r="BX209" s="159"/>
      <c r="BY209" s="159"/>
      <c r="BZ209" s="159"/>
      <c r="CA209" s="159"/>
      <c r="CB209" s="159"/>
      <c r="CC209" s="159"/>
      <c r="CD209" s="159"/>
      <c r="CE209" s="159"/>
      <c r="CF209" s="159"/>
      <c r="CG209" s="159"/>
      <c r="CH209" s="159"/>
      <c r="CI209" s="159"/>
      <c r="CJ209" s="159"/>
      <c r="CK209" s="159"/>
      <c r="CL209" s="159"/>
      <c r="CM209" s="159"/>
      <c r="CN209" s="159"/>
      <c r="CO209" s="159"/>
      <c r="CP209" s="159"/>
      <c r="CQ209" s="159"/>
      <c r="CR209" s="159"/>
      <c r="CS209" s="159"/>
      <c r="CT209" s="159"/>
      <c r="CU209" s="159"/>
      <c r="CV209" s="159"/>
      <c r="CW209" s="159"/>
      <c r="CX209" s="159"/>
      <c r="CY209" s="134"/>
    </row>
    <row r="210" spans="1:103" ht="12.75" customHeight="1" x14ac:dyDescent="0.3">
      <c r="A210" s="155"/>
      <c r="B210" s="134"/>
      <c r="C210" s="134"/>
      <c r="D210" s="134"/>
      <c r="E210" s="157"/>
      <c r="F210" s="157"/>
      <c r="G210" s="157"/>
      <c r="H210" s="157"/>
      <c r="I210" s="158"/>
      <c r="J210" s="159"/>
      <c r="K210" s="159"/>
      <c r="L210" s="159"/>
      <c r="M210" s="160"/>
      <c r="N210" s="160"/>
      <c r="O210" s="160"/>
      <c r="P210" s="158"/>
      <c r="Q210" s="158"/>
      <c r="R210" s="158"/>
      <c r="S210" s="158"/>
      <c r="T210" s="158"/>
      <c r="U210" s="158"/>
      <c r="V210" s="159"/>
      <c r="W210" s="159"/>
      <c r="X210" s="159"/>
      <c r="Y210" s="158"/>
      <c r="Z210" s="159"/>
      <c r="AA210" s="160"/>
      <c r="AB210" s="160"/>
      <c r="AC210" s="160"/>
      <c r="AD210" s="160"/>
      <c r="AE210" s="160"/>
      <c r="AF210" s="159"/>
      <c r="AG210" s="159"/>
      <c r="AH210" s="159"/>
      <c r="AI210" s="159"/>
      <c r="AJ210" s="159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59"/>
      <c r="BX210" s="159"/>
      <c r="BY210" s="159"/>
      <c r="BZ210" s="159"/>
      <c r="CA210" s="159"/>
      <c r="CB210" s="159"/>
      <c r="CC210" s="159"/>
      <c r="CD210" s="159"/>
      <c r="CE210" s="159"/>
      <c r="CF210" s="159"/>
      <c r="CG210" s="159"/>
      <c r="CH210" s="159"/>
      <c r="CI210" s="159"/>
      <c r="CJ210" s="159"/>
      <c r="CK210" s="159"/>
      <c r="CL210" s="159"/>
      <c r="CM210" s="159"/>
      <c r="CN210" s="159"/>
      <c r="CO210" s="159"/>
      <c r="CP210" s="159"/>
      <c r="CQ210" s="159"/>
      <c r="CR210" s="159"/>
      <c r="CS210" s="159"/>
      <c r="CT210" s="159"/>
      <c r="CU210" s="159"/>
      <c r="CV210" s="159"/>
      <c r="CW210" s="159"/>
      <c r="CX210" s="159"/>
      <c r="CY210" s="134"/>
    </row>
    <row r="211" spans="1:103" ht="12.75" customHeight="1" x14ac:dyDescent="0.3">
      <c r="A211" s="155"/>
      <c r="B211" s="134"/>
      <c r="C211" s="134"/>
      <c r="D211" s="134"/>
      <c r="E211" s="157"/>
      <c r="F211" s="157"/>
      <c r="G211" s="157"/>
      <c r="H211" s="157"/>
      <c r="I211" s="158"/>
      <c r="J211" s="159"/>
      <c r="K211" s="159"/>
      <c r="L211" s="159"/>
      <c r="M211" s="160"/>
      <c r="N211" s="160"/>
      <c r="O211" s="160"/>
      <c r="P211" s="158"/>
      <c r="Q211" s="158"/>
      <c r="R211" s="158"/>
      <c r="S211" s="158"/>
      <c r="T211" s="158"/>
      <c r="U211" s="158"/>
      <c r="V211" s="159"/>
      <c r="W211" s="159"/>
      <c r="X211" s="159"/>
      <c r="Y211" s="158"/>
      <c r="Z211" s="159"/>
      <c r="AA211" s="160"/>
      <c r="AB211" s="160"/>
      <c r="AC211" s="160"/>
      <c r="AD211" s="160"/>
      <c r="AE211" s="160"/>
      <c r="AF211" s="159"/>
      <c r="AG211" s="159"/>
      <c r="AH211" s="159"/>
      <c r="AI211" s="159"/>
      <c r="AJ211" s="159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59"/>
      <c r="BX211" s="159"/>
      <c r="BY211" s="159"/>
      <c r="BZ211" s="159"/>
      <c r="CA211" s="159"/>
      <c r="CB211" s="159"/>
      <c r="CC211" s="159"/>
      <c r="CD211" s="159"/>
      <c r="CE211" s="159"/>
      <c r="CF211" s="159"/>
      <c r="CG211" s="159"/>
      <c r="CH211" s="159"/>
      <c r="CI211" s="159"/>
      <c r="CJ211" s="159"/>
      <c r="CK211" s="159"/>
      <c r="CL211" s="159"/>
      <c r="CM211" s="159"/>
      <c r="CN211" s="159"/>
      <c r="CO211" s="159"/>
      <c r="CP211" s="159"/>
      <c r="CQ211" s="159"/>
      <c r="CR211" s="159"/>
      <c r="CS211" s="159"/>
      <c r="CT211" s="159"/>
      <c r="CU211" s="159"/>
      <c r="CV211" s="159"/>
      <c r="CW211" s="159"/>
      <c r="CX211" s="159"/>
      <c r="CY211" s="134"/>
    </row>
    <row r="212" spans="1:103" ht="12.75" customHeight="1" x14ac:dyDescent="0.3">
      <c r="A212" s="155"/>
      <c r="B212" s="134"/>
      <c r="C212" s="134"/>
      <c r="D212" s="134"/>
      <c r="E212" s="157"/>
      <c r="F212" s="157"/>
      <c r="G212" s="157"/>
      <c r="H212" s="157"/>
      <c r="I212" s="158"/>
      <c r="J212" s="159"/>
      <c r="K212" s="159"/>
      <c r="L212" s="159"/>
      <c r="M212" s="160"/>
      <c r="N212" s="160"/>
      <c r="O212" s="160"/>
      <c r="P212" s="158"/>
      <c r="Q212" s="158"/>
      <c r="R212" s="158"/>
      <c r="S212" s="158"/>
      <c r="T212" s="158"/>
      <c r="U212" s="158"/>
      <c r="V212" s="159"/>
      <c r="W212" s="159"/>
      <c r="X212" s="159"/>
      <c r="Y212" s="158"/>
      <c r="Z212" s="159"/>
      <c r="AA212" s="160"/>
      <c r="AB212" s="160"/>
      <c r="AC212" s="160"/>
      <c r="AD212" s="160"/>
      <c r="AE212" s="160"/>
      <c r="AF212" s="159"/>
      <c r="AG212" s="159"/>
      <c r="AH212" s="159"/>
      <c r="AI212" s="159"/>
      <c r="AJ212" s="159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67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59"/>
      <c r="BX212" s="159"/>
      <c r="BY212" s="159"/>
      <c r="BZ212" s="159"/>
      <c r="CA212" s="159"/>
      <c r="CB212" s="159"/>
      <c r="CC212" s="159"/>
      <c r="CD212" s="159"/>
      <c r="CE212" s="159"/>
      <c r="CF212" s="159"/>
      <c r="CG212" s="159"/>
      <c r="CH212" s="159"/>
      <c r="CI212" s="159"/>
      <c r="CJ212" s="159"/>
      <c r="CK212" s="159"/>
      <c r="CL212" s="159"/>
      <c r="CM212" s="159"/>
      <c r="CN212" s="159"/>
      <c r="CO212" s="159"/>
      <c r="CP212" s="159"/>
      <c r="CQ212" s="159"/>
      <c r="CR212" s="159"/>
      <c r="CS212" s="159"/>
      <c r="CT212" s="159"/>
      <c r="CU212" s="159"/>
      <c r="CV212" s="159"/>
      <c r="CW212" s="159"/>
      <c r="CX212" s="159"/>
      <c r="CY212" s="134"/>
    </row>
    <row r="213" spans="1:103" ht="12.75" customHeight="1" x14ac:dyDescent="0.3">
      <c r="A213" s="155"/>
      <c r="B213" s="134"/>
      <c r="C213" s="134"/>
      <c r="D213" s="134"/>
      <c r="E213" s="157"/>
      <c r="F213" s="157"/>
      <c r="G213" s="157"/>
      <c r="H213" s="157"/>
      <c r="I213" s="158"/>
      <c r="J213" s="159"/>
      <c r="K213" s="159"/>
      <c r="L213" s="159"/>
      <c r="M213" s="160"/>
      <c r="N213" s="160"/>
      <c r="O213" s="160"/>
      <c r="P213" s="158"/>
      <c r="Q213" s="158"/>
      <c r="R213" s="158"/>
      <c r="S213" s="158"/>
      <c r="T213" s="158"/>
      <c r="U213" s="158"/>
      <c r="V213" s="159"/>
      <c r="W213" s="159"/>
      <c r="X213" s="159"/>
      <c r="Y213" s="158"/>
      <c r="Z213" s="159"/>
      <c r="AA213" s="160"/>
      <c r="AB213" s="160"/>
      <c r="AC213" s="160"/>
      <c r="AD213" s="160"/>
      <c r="AE213" s="160"/>
      <c r="AF213" s="159"/>
      <c r="AG213" s="159"/>
      <c r="AH213" s="159"/>
      <c r="AI213" s="159"/>
      <c r="AJ213" s="159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67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59"/>
      <c r="BX213" s="159"/>
      <c r="BY213" s="159"/>
      <c r="BZ213" s="159"/>
      <c r="CA213" s="159"/>
      <c r="CB213" s="159"/>
      <c r="CC213" s="159"/>
      <c r="CD213" s="159"/>
      <c r="CE213" s="159"/>
      <c r="CF213" s="159"/>
      <c r="CG213" s="159"/>
      <c r="CH213" s="159"/>
      <c r="CI213" s="159"/>
      <c r="CJ213" s="159"/>
      <c r="CK213" s="159"/>
      <c r="CL213" s="159"/>
      <c r="CM213" s="159"/>
      <c r="CN213" s="159"/>
      <c r="CO213" s="159"/>
      <c r="CP213" s="159"/>
      <c r="CQ213" s="159"/>
      <c r="CR213" s="159"/>
      <c r="CS213" s="159"/>
      <c r="CT213" s="159"/>
      <c r="CU213" s="159"/>
      <c r="CV213" s="159"/>
      <c r="CW213" s="159"/>
      <c r="CX213" s="159"/>
      <c r="CY213" s="134"/>
    </row>
    <row r="214" spans="1:103" ht="12.75" customHeight="1" x14ac:dyDescent="0.3">
      <c r="A214" s="155"/>
      <c r="B214" s="134"/>
      <c r="C214" s="134"/>
      <c r="D214" s="134"/>
      <c r="E214" s="157"/>
      <c r="F214" s="157"/>
      <c r="G214" s="157"/>
      <c r="H214" s="157"/>
      <c r="I214" s="158"/>
      <c r="J214" s="159"/>
      <c r="K214" s="159"/>
      <c r="L214" s="159"/>
      <c r="M214" s="160"/>
      <c r="N214" s="160"/>
      <c r="O214" s="160"/>
      <c r="P214" s="158"/>
      <c r="Q214" s="158"/>
      <c r="R214" s="158"/>
      <c r="S214" s="158"/>
      <c r="T214" s="158"/>
      <c r="U214" s="158"/>
      <c r="V214" s="159"/>
      <c r="W214" s="159"/>
      <c r="X214" s="159"/>
      <c r="Y214" s="158"/>
      <c r="Z214" s="159"/>
      <c r="AA214" s="160"/>
      <c r="AB214" s="160"/>
      <c r="AC214" s="160"/>
      <c r="AD214" s="160"/>
      <c r="AE214" s="160"/>
      <c r="AF214" s="159"/>
      <c r="AG214" s="159"/>
      <c r="AH214" s="159"/>
      <c r="AI214" s="159"/>
      <c r="AJ214" s="159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167"/>
      <c r="BK214" s="167"/>
      <c r="BL214" s="167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59"/>
      <c r="BX214" s="159"/>
      <c r="BY214" s="159"/>
      <c r="BZ214" s="159"/>
      <c r="CA214" s="159"/>
      <c r="CB214" s="159"/>
      <c r="CC214" s="159"/>
      <c r="CD214" s="159"/>
      <c r="CE214" s="159"/>
      <c r="CF214" s="159"/>
      <c r="CG214" s="159"/>
      <c r="CH214" s="159"/>
      <c r="CI214" s="159"/>
      <c r="CJ214" s="159"/>
      <c r="CK214" s="159"/>
      <c r="CL214" s="159"/>
      <c r="CM214" s="159"/>
      <c r="CN214" s="159"/>
      <c r="CO214" s="159"/>
      <c r="CP214" s="159"/>
      <c r="CQ214" s="159"/>
      <c r="CR214" s="159"/>
      <c r="CS214" s="159"/>
      <c r="CT214" s="159"/>
      <c r="CU214" s="159"/>
      <c r="CV214" s="159"/>
      <c r="CW214" s="159"/>
      <c r="CX214" s="159"/>
      <c r="CY214" s="134"/>
    </row>
    <row r="215" spans="1:103" ht="12.75" customHeight="1" x14ac:dyDescent="0.3">
      <c r="A215" s="155"/>
      <c r="B215" s="134"/>
      <c r="C215" s="134"/>
      <c r="D215" s="134"/>
      <c r="E215" s="157"/>
      <c r="F215" s="157"/>
      <c r="G215" s="157"/>
      <c r="H215" s="157"/>
      <c r="I215" s="158"/>
      <c r="J215" s="159"/>
      <c r="K215" s="159"/>
      <c r="L215" s="159"/>
      <c r="M215" s="160"/>
      <c r="N215" s="160"/>
      <c r="O215" s="160"/>
      <c r="P215" s="158"/>
      <c r="Q215" s="158"/>
      <c r="R215" s="158"/>
      <c r="S215" s="158"/>
      <c r="T215" s="158"/>
      <c r="U215" s="158"/>
      <c r="V215" s="159"/>
      <c r="W215" s="159"/>
      <c r="X215" s="159"/>
      <c r="Y215" s="158"/>
      <c r="Z215" s="159"/>
      <c r="AA215" s="160"/>
      <c r="AB215" s="160"/>
      <c r="AC215" s="160"/>
      <c r="AD215" s="160"/>
      <c r="AE215" s="160"/>
      <c r="AF215" s="159"/>
      <c r="AG215" s="159"/>
      <c r="AH215" s="159"/>
      <c r="AI215" s="159"/>
      <c r="AJ215" s="159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167"/>
      <c r="BK215" s="167"/>
      <c r="BL215" s="167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59"/>
      <c r="BX215" s="159"/>
      <c r="BY215" s="159"/>
      <c r="BZ215" s="159"/>
      <c r="CA215" s="159"/>
      <c r="CB215" s="159"/>
      <c r="CC215" s="159"/>
      <c r="CD215" s="159"/>
      <c r="CE215" s="159"/>
      <c r="CF215" s="159"/>
      <c r="CG215" s="159"/>
      <c r="CH215" s="159"/>
      <c r="CI215" s="159"/>
      <c r="CJ215" s="159"/>
      <c r="CK215" s="159"/>
      <c r="CL215" s="159"/>
      <c r="CM215" s="159"/>
      <c r="CN215" s="159"/>
      <c r="CO215" s="159"/>
      <c r="CP215" s="159"/>
      <c r="CQ215" s="159"/>
      <c r="CR215" s="159"/>
      <c r="CS215" s="159"/>
      <c r="CT215" s="159"/>
      <c r="CU215" s="159"/>
      <c r="CV215" s="159"/>
      <c r="CW215" s="159"/>
      <c r="CX215" s="159"/>
      <c r="CY215" s="134"/>
    </row>
    <row r="216" spans="1:103" ht="12.75" customHeight="1" x14ac:dyDescent="0.3">
      <c r="A216" s="155"/>
      <c r="B216" s="134"/>
      <c r="C216" s="134"/>
      <c r="D216" s="134"/>
      <c r="E216" s="157"/>
      <c r="F216" s="157"/>
      <c r="G216" s="157"/>
      <c r="H216" s="157"/>
      <c r="I216" s="158"/>
      <c r="J216" s="159"/>
      <c r="K216" s="159"/>
      <c r="L216" s="159"/>
      <c r="M216" s="160"/>
      <c r="N216" s="160"/>
      <c r="O216" s="160"/>
      <c r="P216" s="158"/>
      <c r="Q216" s="158"/>
      <c r="R216" s="158"/>
      <c r="S216" s="158"/>
      <c r="T216" s="158"/>
      <c r="U216" s="158"/>
      <c r="V216" s="159"/>
      <c r="W216" s="159"/>
      <c r="X216" s="159"/>
      <c r="Y216" s="158"/>
      <c r="Z216" s="159"/>
      <c r="AA216" s="160"/>
      <c r="AB216" s="160"/>
      <c r="AC216" s="160"/>
      <c r="AD216" s="160"/>
      <c r="AE216" s="160"/>
      <c r="AF216" s="159"/>
      <c r="AG216" s="159"/>
      <c r="AH216" s="159"/>
      <c r="AI216" s="159"/>
      <c r="AJ216" s="159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167"/>
      <c r="BK216" s="167"/>
      <c r="BL216" s="167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59"/>
      <c r="BX216" s="159"/>
      <c r="BY216" s="159"/>
      <c r="BZ216" s="159"/>
      <c r="CA216" s="159"/>
      <c r="CB216" s="159"/>
      <c r="CC216" s="159"/>
      <c r="CD216" s="159"/>
      <c r="CE216" s="159"/>
      <c r="CF216" s="159"/>
      <c r="CG216" s="159"/>
      <c r="CH216" s="159"/>
      <c r="CI216" s="159"/>
      <c r="CJ216" s="159"/>
      <c r="CK216" s="159"/>
      <c r="CL216" s="159"/>
      <c r="CM216" s="159"/>
      <c r="CN216" s="159"/>
      <c r="CO216" s="159"/>
      <c r="CP216" s="159"/>
      <c r="CQ216" s="159"/>
      <c r="CR216" s="159"/>
      <c r="CS216" s="159"/>
      <c r="CT216" s="159"/>
      <c r="CU216" s="159"/>
      <c r="CV216" s="159"/>
      <c r="CW216" s="159"/>
      <c r="CX216" s="159"/>
      <c r="CY216" s="134"/>
    </row>
    <row r="217" spans="1:103" ht="12.75" customHeight="1" x14ac:dyDescent="0.3">
      <c r="A217" s="155"/>
      <c r="B217" s="134"/>
      <c r="C217" s="134"/>
      <c r="D217" s="134"/>
      <c r="E217" s="157"/>
      <c r="F217" s="157"/>
      <c r="G217" s="157"/>
      <c r="H217" s="157"/>
      <c r="I217" s="158"/>
      <c r="J217" s="159"/>
      <c r="K217" s="159"/>
      <c r="L217" s="159"/>
      <c r="M217" s="160"/>
      <c r="N217" s="160"/>
      <c r="O217" s="160"/>
      <c r="P217" s="158"/>
      <c r="Q217" s="158"/>
      <c r="R217" s="158"/>
      <c r="S217" s="158"/>
      <c r="T217" s="158"/>
      <c r="U217" s="158"/>
      <c r="V217" s="159"/>
      <c r="W217" s="159"/>
      <c r="X217" s="159"/>
      <c r="Y217" s="158"/>
      <c r="Z217" s="159"/>
      <c r="AA217" s="160"/>
      <c r="AB217" s="160"/>
      <c r="AC217" s="160"/>
      <c r="AD217" s="160"/>
      <c r="AE217" s="160"/>
      <c r="AF217" s="159"/>
      <c r="AG217" s="159"/>
      <c r="AH217" s="159"/>
      <c r="AI217" s="159"/>
      <c r="AJ217" s="159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167"/>
      <c r="BK217" s="167"/>
      <c r="BL217" s="167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59"/>
      <c r="BX217" s="159"/>
      <c r="BY217" s="159"/>
      <c r="BZ217" s="159"/>
      <c r="CA217" s="159"/>
      <c r="CB217" s="159"/>
      <c r="CC217" s="159"/>
      <c r="CD217" s="159"/>
      <c r="CE217" s="159"/>
      <c r="CF217" s="159"/>
      <c r="CG217" s="159"/>
      <c r="CH217" s="159"/>
      <c r="CI217" s="159"/>
      <c r="CJ217" s="159"/>
      <c r="CK217" s="159"/>
      <c r="CL217" s="159"/>
      <c r="CM217" s="159"/>
      <c r="CN217" s="159"/>
      <c r="CO217" s="159"/>
      <c r="CP217" s="159"/>
      <c r="CQ217" s="159"/>
      <c r="CR217" s="159"/>
      <c r="CS217" s="159"/>
      <c r="CT217" s="159"/>
      <c r="CU217" s="159"/>
      <c r="CV217" s="159"/>
      <c r="CW217" s="159"/>
      <c r="CX217" s="159"/>
      <c r="CY217" s="134"/>
    </row>
    <row r="218" spans="1:103" ht="12.75" customHeight="1" x14ac:dyDescent="0.3">
      <c r="A218" s="155"/>
      <c r="B218" s="134"/>
      <c r="C218" s="134"/>
      <c r="D218" s="134"/>
      <c r="E218" s="157"/>
      <c r="F218" s="157"/>
      <c r="G218" s="157"/>
      <c r="H218" s="157"/>
      <c r="I218" s="158"/>
      <c r="J218" s="159"/>
      <c r="K218" s="159"/>
      <c r="L218" s="159"/>
      <c r="M218" s="160"/>
      <c r="N218" s="160"/>
      <c r="O218" s="160"/>
      <c r="P218" s="158"/>
      <c r="Q218" s="158"/>
      <c r="R218" s="158"/>
      <c r="S218" s="158"/>
      <c r="T218" s="158"/>
      <c r="U218" s="158"/>
      <c r="V218" s="159"/>
      <c r="W218" s="159"/>
      <c r="X218" s="159"/>
      <c r="Y218" s="158"/>
      <c r="Z218" s="159"/>
      <c r="AA218" s="160"/>
      <c r="AB218" s="160"/>
      <c r="AC218" s="160"/>
      <c r="AD218" s="160"/>
      <c r="AE218" s="160"/>
      <c r="AF218" s="159"/>
      <c r="AG218" s="159"/>
      <c r="AH218" s="159"/>
      <c r="AI218" s="159"/>
      <c r="AJ218" s="159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167"/>
      <c r="BK218" s="167"/>
      <c r="BL218" s="167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59"/>
      <c r="BX218" s="159"/>
      <c r="BY218" s="159"/>
      <c r="BZ218" s="159"/>
      <c r="CA218" s="159"/>
      <c r="CB218" s="159"/>
      <c r="CC218" s="159"/>
      <c r="CD218" s="159"/>
      <c r="CE218" s="159"/>
      <c r="CF218" s="159"/>
      <c r="CG218" s="159"/>
      <c r="CH218" s="159"/>
      <c r="CI218" s="159"/>
      <c r="CJ218" s="159"/>
      <c r="CK218" s="159"/>
      <c r="CL218" s="159"/>
      <c r="CM218" s="159"/>
      <c r="CN218" s="159"/>
      <c r="CO218" s="159"/>
      <c r="CP218" s="159"/>
      <c r="CQ218" s="159"/>
      <c r="CR218" s="159"/>
      <c r="CS218" s="159"/>
      <c r="CT218" s="159"/>
      <c r="CU218" s="159"/>
      <c r="CV218" s="159"/>
      <c r="CW218" s="159"/>
      <c r="CX218" s="159"/>
      <c r="CY218" s="134"/>
    </row>
    <row r="219" spans="1:103" ht="12.75" customHeight="1" x14ac:dyDescent="0.3">
      <c r="A219" s="155"/>
      <c r="B219" s="134"/>
      <c r="C219" s="134"/>
      <c r="D219" s="134"/>
      <c r="E219" s="157"/>
      <c r="F219" s="157"/>
      <c r="G219" s="157"/>
      <c r="H219" s="157"/>
      <c r="I219" s="158"/>
      <c r="J219" s="159"/>
      <c r="K219" s="159"/>
      <c r="L219" s="159"/>
      <c r="M219" s="160"/>
      <c r="N219" s="160"/>
      <c r="O219" s="160"/>
      <c r="P219" s="158"/>
      <c r="Q219" s="158"/>
      <c r="R219" s="158"/>
      <c r="S219" s="158"/>
      <c r="T219" s="158"/>
      <c r="U219" s="158"/>
      <c r="V219" s="159"/>
      <c r="W219" s="159"/>
      <c r="X219" s="159"/>
      <c r="Y219" s="158"/>
      <c r="Z219" s="159"/>
      <c r="AA219" s="160"/>
      <c r="AB219" s="160"/>
      <c r="AC219" s="160"/>
      <c r="AD219" s="160"/>
      <c r="AE219" s="160"/>
      <c r="AF219" s="159"/>
      <c r="AG219" s="159"/>
      <c r="AH219" s="159"/>
      <c r="AI219" s="159"/>
      <c r="AJ219" s="159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167"/>
      <c r="BK219" s="167"/>
      <c r="BL219" s="167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59"/>
      <c r="BX219" s="159"/>
      <c r="BY219" s="159"/>
      <c r="BZ219" s="159"/>
      <c r="CA219" s="159"/>
      <c r="CB219" s="159"/>
      <c r="CC219" s="159"/>
      <c r="CD219" s="159"/>
      <c r="CE219" s="159"/>
      <c r="CF219" s="159"/>
      <c r="CG219" s="159"/>
      <c r="CH219" s="159"/>
      <c r="CI219" s="159"/>
      <c r="CJ219" s="159"/>
      <c r="CK219" s="159"/>
      <c r="CL219" s="159"/>
      <c r="CM219" s="159"/>
      <c r="CN219" s="159"/>
      <c r="CO219" s="159"/>
      <c r="CP219" s="159"/>
      <c r="CQ219" s="159"/>
      <c r="CR219" s="159"/>
      <c r="CS219" s="159"/>
      <c r="CT219" s="159"/>
      <c r="CU219" s="159"/>
      <c r="CV219" s="159"/>
      <c r="CW219" s="159"/>
      <c r="CX219" s="159"/>
      <c r="CY219" s="134"/>
    </row>
    <row r="220" spans="1:103" ht="12.75" customHeight="1" x14ac:dyDescent="0.3">
      <c r="A220" s="155"/>
      <c r="B220" s="134"/>
      <c r="C220" s="134"/>
      <c r="D220" s="134"/>
      <c r="E220" s="157"/>
      <c r="F220" s="157"/>
      <c r="G220" s="157"/>
      <c r="H220" s="157"/>
      <c r="I220" s="158"/>
      <c r="J220" s="159"/>
      <c r="K220" s="159"/>
      <c r="L220" s="159"/>
      <c r="M220" s="160"/>
      <c r="N220" s="160"/>
      <c r="O220" s="160"/>
      <c r="P220" s="158"/>
      <c r="Q220" s="158"/>
      <c r="R220" s="158"/>
      <c r="S220" s="158"/>
      <c r="T220" s="158"/>
      <c r="U220" s="158"/>
      <c r="V220" s="159"/>
      <c r="W220" s="159"/>
      <c r="X220" s="159"/>
      <c r="Y220" s="158"/>
      <c r="Z220" s="159"/>
      <c r="AA220" s="160"/>
      <c r="AB220" s="160"/>
      <c r="AC220" s="160"/>
      <c r="AD220" s="160"/>
      <c r="AE220" s="160"/>
      <c r="AF220" s="159"/>
      <c r="AG220" s="159"/>
      <c r="AH220" s="159"/>
      <c r="AI220" s="159"/>
      <c r="AJ220" s="159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167"/>
      <c r="BK220" s="167"/>
      <c r="BL220" s="167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59"/>
      <c r="BX220" s="159"/>
      <c r="BY220" s="159"/>
      <c r="BZ220" s="159"/>
      <c r="CA220" s="159"/>
      <c r="CB220" s="159"/>
      <c r="CC220" s="159"/>
      <c r="CD220" s="159"/>
      <c r="CE220" s="159"/>
      <c r="CF220" s="159"/>
      <c r="CG220" s="159"/>
      <c r="CH220" s="159"/>
      <c r="CI220" s="159"/>
      <c r="CJ220" s="159"/>
      <c r="CK220" s="159"/>
      <c r="CL220" s="159"/>
      <c r="CM220" s="159"/>
      <c r="CN220" s="159"/>
      <c r="CO220" s="159"/>
      <c r="CP220" s="159"/>
      <c r="CQ220" s="159"/>
      <c r="CR220" s="159"/>
      <c r="CS220" s="159"/>
      <c r="CT220" s="159"/>
      <c r="CU220" s="159"/>
      <c r="CV220" s="159"/>
      <c r="CW220" s="159"/>
      <c r="CX220" s="159"/>
      <c r="CY220" s="134"/>
    </row>
    <row r="221" spans="1:103" ht="12.75" customHeight="1" x14ac:dyDescent="0.3">
      <c r="A221" s="155"/>
      <c r="B221" s="134"/>
      <c r="C221" s="134"/>
      <c r="D221" s="134"/>
      <c r="E221" s="157"/>
      <c r="F221" s="157"/>
      <c r="G221" s="157"/>
      <c r="H221" s="157"/>
      <c r="I221" s="158"/>
      <c r="J221" s="159"/>
      <c r="K221" s="159"/>
      <c r="L221" s="159"/>
      <c r="M221" s="160"/>
      <c r="N221" s="160"/>
      <c r="O221" s="160"/>
      <c r="P221" s="158"/>
      <c r="Q221" s="158"/>
      <c r="R221" s="158"/>
      <c r="S221" s="158"/>
      <c r="T221" s="158"/>
      <c r="U221" s="158"/>
      <c r="V221" s="159"/>
      <c r="W221" s="159"/>
      <c r="X221" s="159"/>
      <c r="Y221" s="158"/>
      <c r="Z221" s="159"/>
      <c r="AA221" s="160"/>
      <c r="AB221" s="160"/>
      <c r="AC221" s="160"/>
      <c r="AD221" s="160"/>
      <c r="AE221" s="160"/>
      <c r="AF221" s="159"/>
      <c r="AG221" s="159"/>
      <c r="AH221" s="159"/>
      <c r="AI221" s="159"/>
      <c r="AJ221" s="159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167"/>
      <c r="BK221" s="167"/>
      <c r="BL221" s="167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59"/>
      <c r="BX221" s="159"/>
      <c r="BY221" s="159"/>
      <c r="BZ221" s="159"/>
      <c r="CA221" s="159"/>
      <c r="CB221" s="159"/>
      <c r="CC221" s="159"/>
      <c r="CD221" s="159"/>
      <c r="CE221" s="159"/>
      <c r="CF221" s="159"/>
      <c r="CG221" s="159"/>
      <c r="CH221" s="159"/>
      <c r="CI221" s="159"/>
      <c r="CJ221" s="159"/>
      <c r="CK221" s="159"/>
      <c r="CL221" s="159"/>
      <c r="CM221" s="159"/>
      <c r="CN221" s="159"/>
      <c r="CO221" s="159"/>
      <c r="CP221" s="159"/>
      <c r="CQ221" s="159"/>
      <c r="CR221" s="159"/>
      <c r="CS221" s="159"/>
      <c r="CT221" s="159"/>
      <c r="CU221" s="159"/>
      <c r="CV221" s="159"/>
      <c r="CW221" s="159"/>
      <c r="CX221" s="159"/>
      <c r="CY221" s="134"/>
    </row>
    <row r="222" spans="1:103" ht="12.75" customHeight="1" x14ac:dyDescent="0.3">
      <c r="A222" s="155"/>
      <c r="B222" s="134"/>
      <c r="C222" s="134"/>
      <c r="D222" s="134"/>
      <c r="E222" s="157"/>
      <c r="F222" s="157"/>
      <c r="G222" s="157"/>
      <c r="H222" s="157"/>
      <c r="I222" s="158"/>
      <c r="J222" s="159"/>
      <c r="K222" s="159"/>
      <c r="L222" s="159"/>
      <c r="M222" s="160"/>
      <c r="N222" s="160"/>
      <c r="O222" s="160"/>
      <c r="P222" s="158"/>
      <c r="Q222" s="158"/>
      <c r="R222" s="158"/>
      <c r="S222" s="158"/>
      <c r="T222" s="158"/>
      <c r="U222" s="158"/>
      <c r="V222" s="159"/>
      <c r="W222" s="159"/>
      <c r="X222" s="159"/>
      <c r="Y222" s="158"/>
      <c r="Z222" s="159"/>
      <c r="AA222" s="160"/>
      <c r="AB222" s="160"/>
      <c r="AC222" s="160"/>
      <c r="AD222" s="160"/>
      <c r="AE222" s="160"/>
      <c r="AF222" s="159"/>
      <c r="AG222" s="159"/>
      <c r="AH222" s="159"/>
      <c r="AI222" s="159"/>
      <c r="AJ222" s="159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  <c r="BJ222" s="167"/>
      <c r="BK222" s="167"/>
      <c r="BL222" s="167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59"/>
      <c r="BX222" s="159"/>
      <c r="BY222" s="159"/>
      <c r="BZ222" s="159"/>
      <c r="CA222" s="159"/>
      <c r="CB222" s="159"/>
      <c r="CC222" s="159"/>
      <c r="CD222" s="159"/>
      <c r="CE222" s="159"/>
      <c r="CF222" s="159"/>
      <c r="CG222" s="159"/>
      <c r="CH222" s="159"/>
      <c r="CI222" s="159"/>
      <c r="CJ222" s="159"/>
      <c r="CK222" s="159"/>
      <c r="CL222" s="159"/>
      <c r="CM222" s="159"/>
      <c r="CN222" s="159"/>
      <c r="CO222" s="159"/>
      <c r="CP222" s="159"/>
      <c r="CQ222" s="159"/>
      <c r="CR222" s="159"/>
      <c r="CS222" s="159"/>
      <c r="CT222" s="159"/>
      <c r="CU222" s="159"/>
      <c r="CV222" s="159"/>
      <c r="CW222" s="159"/>
      <c r="CX222" s="159"/>
      <c r="CY222" s="134"/>
    </row>
    <row r="223" spans="1:103" ht="12.75" customHeight="1" x14ac:dyDescent="0.3">
      <c r="A223" s="155"/>
      <c r="B223" s="134"/>
      <c r="C223" s="134"/>
      <c r="D223" s="134"/>
      <c r="E223" s="157"/>
      <c r="F223" s="157"/>
      <c r="G223" s="157"/>
      <c r="H223" s="157"/>
      <c r="I223" s="158"/>
      <c r="J223" s="159"/>
      <c r="K223" s="159"/>
      <c r="L223" s="159"/>
      <c r="M223" s="160"/>
      <c r="N223" s="160"/>
      <c r="O223" s="160"/>
      <c r="P223" s="158"/>
      <c r="Q223" s="158"/>
      <c r="R223" s="158"/>
      <c r="S223" s="158"/>
      <c r="T223" s="158"/>
      <c r="U223" s="158"/>
      <c r="V223" s="159"/>
      <c r="W223" s="159"/>
      <c r="X223" s="159"/>
      <c r="Y223" s="158"/>
      <c r="Z223" s="159"/>
      <c r="AA223" s="160"/>
      <c r="AB223" s="160"/>
      <c r="AC223" s="160"/>
      <c r="AD223" s="160"/>
      <c r="AE223" s="160"/>
      <c r="AF223" s="159"/>
      <c r="AG223" s="159"/>
      <c r="AH223" s="159"/>
      <c r="AI223" s="159"/>
      <c r="AJ223" s="159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  <c r="BJ223" s="167"/>
      <c r="BK223" s="167"/>
      <c r="BL223" s="167"/>
      <c r="BM223" s="167"/>
      <c r="BN223" s="167"/>
      <c r="BO223" s="167"/>
      <c r="BP223" s="167"/>
      <c r="BQ223" s="167"/>
      <c r="BR223" s="167"/>
      <c r="BS223" s="167"/>
      <c r="BT223" s="167"/>
      <c r="BU223" s="167"/>
      <c r="BV223" s="167"/>
      <c r="BW223" s="159"/>
      <c r="BX223" s="159"/>
      <c r="BY223" s="159"/>
      <c r="BZ223" s="159"/>
      <c r="CA223" s="159"/>
      <c r="CB223" s="159"/>
      <c r="CC223" s="159"/>
      <c r="CD223" s="159"/>
      <c r="CE223" s="159"/>
      <c r="CF223" s="159"/>
      <c r="CG223" s="159"/>
      <c r="CH223" s="159"/>
      <c r="CI223" s="159"/>
      <c r="CJ223" s="159"/>
      <c r="CK223" s="159"/>
      <c r="CL223" s="159"/>
      <c r="CM223" s="159"/>
      <c r="CN223" s="159"/>
      <c r="CO223" s="159"/>
      <c r="CP223" s="159"/>
      <c r="CQ223" s="159"/>
      <c r="CR223" s="159"/>
      <c r="CS223" s="159"/>
      <c r="CT223" s="159"/>
      <c r="CU223" s="159"/>
      <c r="CV223" s="159"/>
      <c r="CW223" s="159"/>
      <c r="CX223" s="159"/>
      <c r="CY223" s="134"/>
    </row>
    <row r="224" spans="1:103" ht="12.75" customHeight="1" x14ac:dyDescent="0.3">
      <c r="A224" s="155"/>
      <c r="B224" s="134"/>
      <c r="C224" s="134"/>
      <c r="D224" s="134"/>
      <c r="E224" s="157"/>
      <c r="F224" s="157"/>
      <c r="G224" s="157"/>
      <c r="H224" s="157"/>
      <c r="I224" s="158"/>
      <c r="J224" s="159"/>
      <c r="K224" s="159"/>
      <c r="L224" s="159"/>
      <c r="M224" s="160"/>
      <c r="N224" s="160"/>
      <c r="O224" s="160"/>
      <c r="P224" s="158"/>
      <c r="Q224" s="158"/>
      <c r="R224" s="158"/>
      <c r="S224" s="158"/>
      <c r="T224" s="158"/>
      <c r="U224" s="158"/>
      <c r="V224" s="159"/>
      <c r="W224" s="159"/>
      <c r="X224" s="159"/>
      <c r="Y224" s="158"/>
      <c r="Z224" s="159"/>
      <c r="AA224" s="160"/>
      <c r="AB224" s="160"/>
      <c r="AC224" s="160"/>
      <c r="AD224" s="160"/>
      <c r="AE224" s="160"/>
      <c r="AF224" s="159"/>
      <c r="AG224" s="159"/>
      <c r="AH224" s="159"/>
      <c r="AI224" s="159"/>
      <c r="AJ224" s="159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167"/>
      <c r="BK224" s="167"/>
      <c r="BL224" s="167"/>
      <c r="BM224" s="167"/>
      <c r="BN224" s="167"/>
      <c r="BO224" s="167"/>
      <c r="BP224" s="167"/>
      <c r="BQ224" s="167"/>
      <c r="BR224" s="167"/>
      <c r="BS224" s="167"/>
      <c r="BT224" s="167"/>
      <c r="BU224" s="167"/>
      <c r="BV224" s="167"/>
      <c r="BW224" s="159"/>
      <c r="BX224" s="159"/>
      <c r="BY224" s="159"/>
      <c r="BZ224" s="159"/>
      <c r="CA224" s="159"/>
      <c r="CB224" s="159"/>
      <c r="CC224" s="159"/>
      <c r="CD224" s="159"/>
      <c r="CE224" s="159"/>
      <c r="CF224" s="159"/>
      <c r="CG224" s="159"/>
      <c r="CH224" s="159"/>
      <c r="CI224" s="159"/>
      <c r="CJ224" s="159"/>
      <c r="CK224" s="159"/>
      <c r="CL224" s="159"/>
      <c r="CM224" s="159"/>
      <c r="CN224" s="159"/>
      <c r="CO224" s="159"/>
      <c r="CP224" s="159"/>
      <c r="CQ224" s="159"/>
      <c r="CR224" s="159"/>
      <c r="CS224" s="159"/>
      <c r="CT224" s="159"/>
      <c r="CU224" s="159"/>
      <c r="CV224" s="159"/>
      <c r="CW224" s="159"/>
      <c r="CX224" s="159"/>
      <c r="CY224" s="134"/>
    </row>
    <row r="225" spans="1:103" ht="12.75" customHeight="1" x14ac:dyDescent="0.3">
      <c r="A225" s="155"/>
      <c r="B225" s="134"/>
      <c r="C225" s="134"/>
      <c r="D225" s="134"/>
      <c r="E225" s="157"/>
      <c r="F225" s="157"/>
      <c r="G225" s="157"/>
      <c r="H225" s="157"/>
      <c r="I225" s="158"/>
      <c r="J225" s="159"/>
      <c r="K225" s="159"/>
      <c r="L225" s="159"/>
      <c r="M225" s="160"/>
      <c r="N225" s="160"/>
      <c r="O225" s="160"/>
      <c r="P225" s="158"/>
      <c r="Q225" s="158"/>
      <c r="R225" s="158"/>
      <c r="S225" s="158"/>
      <c r="T225" s="158"/>
      <c r="U225" s="158"/>
      <c r="V225" s="159"/>
      <c r="W225" s="159"/>
      <c r="X225" s="159"/>
      <c r="Y225" s="158"/>
      <c r="Z225" s="159"/>
      <c r="AA225" s="160"/>
      <c r="AB225" s="160"/>
      <c r="AC225" s="160"/>
      <c r="AD225" s="160"/>
      <c r="AE225" s="160"/>
      <c r="AF225" s="159"/>
      <c r="AG225" s="159"/>
      <c r="AH225" s="159"/>
      <c r="AI225" s="159"/>
      <c r="AJ225" s="159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  <c r="BJ225" s="167"/>
      <c r="BK225" s="167"/>
      <c r="BL225" s="167"/>
      <c r="BM225" s="167"/>
      <c r="BN225" s="167"/>
      <c r="BO225" s="167"/>
      <c r="BP225" s="167"/>
      <c r="BQ225" s="167"/>
      <c r="BR225" s="167"/>
      <c r="BS225" s="167"/>
      <c r="BT225" s="167"/>
      <c r="BU225" s="167"/>
      <c r="BV225" s="167"/>
      <c r="BW225" s="159"/>
      <c r="BX225" s="159"/>
      <c r="BY225" s="159"/>
      <c r="BZ225" s="159"/>
      <c r="CA225" s="159"/>
      <c r="CB225" s="159"/>
      <c r="CC225" s="159"/>
      <c r="CD225" s="159"/>
      <c r="CE225" s="159"/>
      <c r="CF225" s="159"/>
      <c r="CG225" s="159"/>
      <c r="CH225" s="159"/>
      <c r="CI225" s="159"/>
      <c r="CJ225" s="159"/>
      <c r="CK225" s="159"/>
      <c r="CL225" s="159"/>
      <c r="CM225" s="159"/>
      <c r="CN225" s="159"/>
      <c r="CO225" s="159"/>
      <c r="CP225" s="159"/>
      <c r="CQ225" s="159"/>
      <c r="CR225" s="159"/>
      <c r="CS225" s="159"/>
      <c r="CT225" s="159"/>
      <c r="CU225" s="159"/>
      <c r="CV225" s="159"/>
      <c r="CW225" s="159"/>
      <c r="CX225" s="159"/>
      <c r="CY225" s="134"/>
    </row>
    <row r="226" spans="1:103" ht="12.75" customHeight="1" x14ac:dyDescent="0.3">
      <c r="A226" s="155"/>
      <c r="B226" s="134"/>
      <c r="C226" s="134"/>
      <c r="D226" s="134"/>
      <c r="E226" s="157"/>
      <c r="F226" s="157"/>
      <c r="G226" s="157"/>
      <c r="H226" s="157"/>
      <c r="I226" s="158"/>
      <c r="J226" s="159"/>
      <c r="K226" s="159"/>
      <c r="L226" s="159"/>
      <c r="M226" s="160"/>
      <c r="N226" s="160"/>
      <c r="O226" s="160"/>
      <c r="P226" s="158"/>
      <c r="Q226" s="158"/>
      <c r="R226" s="158"/>
      <c r="S226" s="158"/>
      <c r="T226" s="158"/>
      <c r="U226" s="158"/>
      <c r="V226" s="159"/>
      <c r="W226" s="159"/>
      <c r="X226" s="159"/>
      <c r="Y226" s="158"/>
      <c r="Z226" s="159"/>
      <c r="AA226" s="160"/>
      <c r="AB226" s="160"/>
      <c r="AC226" s="160"/>
      <c r="AD226" s="160"/>
      <c r="AE226" s="160"/>
      <c r="AF226" s="159"/>
      <c r="AG226" s="159"/>
      <c r="AH226" s="159"/>
      <c r="AI226" s="159"/>
      <c r="AJ226" s="159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  <c r="BJ226" s="167"/>
      <c r="BK226" s="167"/>
      <c r="BL226" s="167"/>
      <c r="BM226" s="167"/>
      <c r="BN226" s="167"/>
      <c r="BO226" s="167"/>
      <c r="BP226" s="167"/>
      <c r="BQ226" s="167"/>
      <c r="BR226" s="167"/>
      <c r="BS226" s="167"/>
      <c r="BT226" s="167"/>
      <c r="BU226" s="167"/>
      <c r="BV226" s="167"/>
      <c r="BW226" s="159"/>
      <c r="BX226" s="159"/>
      <c r="BY226" s="159"/>
      <c r="BZ226" s="159"/>
      <c r="CA226" s="159"/>
      <c r="CB226" s="159"/>
      <c r="CC226" s="159"/>
      <c r="CD226" s="159"/>
      <c r="CE226" s="159"/>
      <c r="CF226" s="159"/>
      <c r="CG226" s="159"/>
      <c r="CH226" s="159"/>
      <c r="CI226" s="159"/>
      <c r="CJ226" s="159"/>
      <c r="CK226" s="159"/>
      <c r="CL226" s="159"/>
      <c r="CM226" s="159"/>
      <c r="CN226" s="159"/>
      <c r="CO226" s="159"/>
      <c r="CP226" s="159"/>
      <c r="CQ226" s="159"/>
      <c r="CR226" s="159"/>
      <c r="CS226" s="159"/>
      <c r="CT226" s="159"/>
      <c r="CU226" s="159"/>
      <c r="CV226" s="159"/>
      <c r="CW226" s="159"/>
      <c r="CX226" s="159"/>
      <c r="CY226" s="134"/>
    </row>
    <row r="227" spans="1:103" ht="12.75" customHeight="1" x14ac:dyDescent="0.3">
      <c r="A227" s="155"/>
      <c r="B227" s="134"/>
      <c r="C227" s="134"/>
      <c r="D227" s="134"/>
      <c r="E227" s="157"/>
      <c r="F227" s="157"/>
      <c r="G227" s="157"/>
      <c r="H227" s="157"/>
      <c r="I227" s="158"/>
      <c r="J227" s="159"/>
      <c r="K227" s="159"/>
      <c r="L227" s="159"/>
      <c r="M227" s="160"/>
      <c r="N227" s="160"/>
      <c r="O227" s="160"/>
      <c r="P227" s="158"/>
      <c r="Q227" s="158"/>
      <c r="R227" s="158"/>
      <c r="S227" s="158"/>
      <c r="T227" s="158"/>
      <c r="U227" s="158"/>
      <c r="V227" s="159"/>
      <c r="W227" s="159"/>
      <c r="X227" s="159"/>
      <c r="Y227" s="158"/>
      <c r="Z227" s="159"/>
      <c r="AA227" s="160"/>
      <c r="AB227" s="160"/>
      <c r="AC227" s="160"/>
      <c r="AD227" s="160"/>
      <c r="AE227" s="160"/>
      <c r="AF227" s="159"/>
      <c r="AG227" s="159"/>
      <c r="AH227" s="159"/>
      <c r="AI227" s="159"/>
      <c r="AJ227" s="159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  <c r="BJ227" s="167"/>
      <c r="BK227" s="167"/>
      <c r="BL227" s="167"/>
      <c r="BM227" s="167"/>
      <c r="BN227" s="167"/>
      <c r="BO227" s="167"/>
      <c r="BP227" s="167"/>
      <c r="BQ227" s="167"/>
      <c r="BR227" s="167"/>
      <c r="BS227" s="167"/>
      <c r="BT227" s="167"/>
      <c r="BU227" s="167"/>
      <c r="BV227" s="167"/>
      <c r="BW227" s="159"/>
      <c r="BX227" s="159"/>
      <c r="BY227" s="159"/>
      <c r="BZ227" s="159"/>
      <c r="CA227" s="159"/>
      <c r="CB227" s="159"/>
      <c r="CC227" s="159"/>
      <c r="CD227" s="159"/>
      <c r="CE227" s="159"/>
      <c r="CF227" s="159"/>
      <c r="CG227" s="159"/>
      <c r="CH227" s="159"/>
      <c r="CI227" s="159"/>
      <c r="CJ227" s="159"/>
      <c r="CK227" s="159"/>
      <c r="CL227" s="159"/>
      <c r="CM227" s="159"/>
      <c r="CN227" s="159"/>
      <c r="CO227" s="159"/>
      <c r="CP227" s="159"/>
      <c r="CQ227" s="159"/>
      <c r="CR227" s="159"/>
      <c r="CS227" s="159"/>
      <c r="CT227" s="159"/>
      <c r="CU227" s="159"/>
      <c r="CV227" s="159"/>
      <c r="CW227" s="159"/>
      <c r="CX227" s="159"/>
      <c r="CY227" s="134"/>
    </row>
    <row r="228" spans="1:103" ht="12.75" customHeight="1" x14ac:dyDescent="0.3">
      <c r="A228" s="155"/>
      <c r="B228" s="134"/>
      <c r="C228" s="134"/>
      <c r="D228" s="134"/>
      <c r="E228" s="157"/>
      <c r="F228" s="157"/>
      <c r="G228" s="157"/>
      <c r="H228" s="157"/>
      <c r="I228" s="158"/>
      <c r="J228" s="159"/>
      <c r="K228" s="159"/>
      <c r="L228" s="159"/>
      <c r="M228" s="160"/>
      <c r="N228" s="160"/>
      <c r="O228" s="160"/>
      <c r="P228" s="158"/>
      <c r="Q228" s="158"/>
      <c r="R228" s="158"/>
      <c r="S228" s="158"/>
      <c r="T228" s="158"/>
      <c r="U228" s="158"/>
      <c r="V228" s="159"/>
      <c r="W228" s="159"/>
      <c r="X228" s="159"/>
      <c r="Y228" s="158"/>
      <c r="Z228" s="159"/>
      <c r="AA228" s="160"/>
      <c r="AB228" s="160"/>
      <c r="AC228" s="160"/>
      <c r="AD228" s="160"/>
      <c r="AE228" s="160"/>
      <c r="AF228" s="159"/>
      <c r="AG228" s="159"/>
      <c r="AH228" s="159"/>
      <c r="AI228" s="159"/>
      <c r="AJ228" s="159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  <c r="BJ228" s="167"/>
      <c r="BK228" s="167"/>
      <c r="BL228" s="167"/>
      <c r="BM228" s="167"/>
      <c r="BN228" s="167"/>
      <c r="BO228" s="167"/>
      <c r="BP228" s="167"/>
      <c r="BQ228" s="167"/>
      <c r="BR228" s="167"/>
      <c r="BS228" s="167"/>
      <c r="BT228" s="167"/>
      <c r="BU228" s="167"/>
      <c r="BV228" s="167"/>
      <c r="BW228" s="159"/>
      <c r="BX228" s="159"/>
      <c r="BY228" s="159"/>
      <c r="BZ228" s="159"/>
      <c r="CA228" s="159"/>
      <c r="CB228" s="159"/>
      <c r="CC228" s="159"/>
      <c r="CD228" s="159"/>
      <c r="CE228" s="159"/>
      <c r="CF228" s="159"/>
      <c r="CG228" s="159"/>
      <c r="CH228" s="159"/>
      <c r="CI228" s="159"/>
      <c r="CJ228" s="159"/>
      <c r="CK228" s="159"/>
      <c r="CL228" s="159"/>
      <c r="CM228" s="159"/>
      <c r="CN228" s="159"/>
      <c r="CO228" s="159"/>
      <c r="CP228" s="159"/>
      <c r="CQ228" s="159"/>
      <c r="CR228" s="159"/>
      <c r="CS228" s="159"/>
      <c r="CT228" s="159"/>
      <c r="CU228" s="159"/>
      <c r="CV228" s="159"/>
      <c r="CW228" s="159"/>
      <c r="CX228" s="159"/>
      <c r="CY228" s="134"/>
    </row>
    <row r="229" spans="1:103" ht="12.75" customHeight="1" x14ac:dyDescent="0.3">
      <c r="A229" s="155"/>
      <c r="B229" s="134"/>
      <c r="C229" s="134"/>
      <c r="D229" s="134"/>
      <c r="E229" s="157"/>
      <c r="F229" s="157"/>
      <c r="G229" s="157"/>
      <c r="H229" s="157"/>
      <c r="I229" s="158"/>
      <c r="J229" s="159"/>
      <c r="K229" s="159"/>
      <c r="L229" s="159"/>
      <c r="M229" s="160"/>
      <c r="N229" s="160"/>
      <c r="O229" s="160"/>
      <c r="P229" s="158"/>
      <c r="Q229" s="158"/>
      <c r="R229" s="158"/>
      <c r="S229" s="158"/>
      <c r="T229" s="158"/>
      <c r="U229" s="158"/>
      <c r="V229" s="159"/>
      <c r="W229" s="159"/>
      <c r="X229" s="159"/>
      <c r="Y229" s="158"/>
      <c r="Z229" s="159"/>
      <c r="AA229" s="160"/>
      <c r="AB229" s="160"/>
      <c r="AC229" s="160"/>
      <c r="AD229" s="160"/>
      <c r="AE229" s="160"/>
      <c r="AF229" s="159"/>
      <c r="AG229" s="159"/>
      <c r="AH229" s="159"/>
      <c r="AI229" s="159"/>
      <c r="AJ229" s="159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  <c r="BJ229" s="167"/>
      <c r="BK229" s="167"/>
      <c r="BL229" s="167"/>
      <c r="BM229" s="167"/>
      <c r="BN229" s="167"/>
      <c r="BO229" s="167"/>
      <c r="BP229" s="167"/>
      <c r="BQ229" s="167"/>
      <c r="BR229" s="167"/>
      <c r="BS229" s="167"/>
      <c r="BT229" s="167"/>
      <c r="BU229" s="167"/>
      <c r="BV229" s="167"/>
      <c r="BW229" s="159"/>
      <c r="BX229" s="159"/>
      <c r="BY229" s="159"/>
      <c r="BZ229" s="159"/>
      <c r="CA229" s="159"/>
      <c r="CB229" s="159"/>
      <c r="CC229" s="159"/>
      <c r="CD229" s="159"/>
      <c r="CE229" s="159"/>
      <c r="CF229" s="159"/>
      <c r="CG229" s="159"/>
      <c r="CH229" s="159"/>
      <c r="CI229" s="159"/>
      <c r="CJ229" s="159"/>
      <c r="CK229" s="159"/>
      <c r="CL229" s="159"/>
      <c r="CM229" s="159"/>
      <c r="CN229" s="159"/>
      <c r="CO229" s="159"/>
      <c r="CP229" s="159"/>
      <c r="CQ229" s="159"/>
      <c r="CR229" s="159"/>
      <c r="CS229" s="159"/>
      <c r="CT229" s="159"/>
      <c r="CU229" s="159"/>
      <c r="CV229" s="159"/>
      <c r="CW229" s="159"/>
      <c r="CX229" s="159"/>
      <c r="CY229" s="134"/>
    </row>
    <row r="230" spans="1:103" ht="12.75" customHeight="1" x14ac:dyDescent="0.3">
      <c r="A230" s="155"/>
      <c r="B230" s="134"/>
      <c r="C230" s="134"/>
      <c r="D230" s="134"/>
      <c r="E230" s="157"/>
      <c r="F230" s="157"/>
      <c r="G230" s="157"/>
      <c r="H230" s="157"/>
      <c r="I230" s="158"/>
      <c r="J230" s="159"/>
      <c r="K230" s="159"/>
      <c r="L230" s="159"/>
      <c r="M230" s="160"/>
      <c r="N230" s="160"/>
      <c r="O230" s="160"/>
      <c r="P230" s="158"/>
      <c r="Q230" s="158"/>
      <c r="R230" s="158"/>
      <c r="S230" s="158"/>
      <c r="T230" s="158"/>
      <c r="U230" s="158"/>
      <c r="V230" s="159"/>
      <c r="W230" s="159"/>
      <c r="X230" s="159"/>
      <c r="Y230" s="158"/>
      <c r="Z230" s="159"/>
      <c r="AA230" s="160"/>
      <c r="AB230" s="160"/>
      <c r="AC230" s="160"/>
      <c r="AD230" s="160"/>
      <c r="AE230" s="160"/>
      <c r="AF230" s="159"/>
      <c r="AG230" s="159"/>
      <c r="AH230" s="159"/>
      <c r="AI230" s="159"/>
      <c r="AJ230" s="159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  <c r="BJ230" s="167"/>
      <c r="BK230" s="167"/>
      <c r="BL230" s="167"/>
      <c r="BM230" s="167"/>
      <c r="BN230" s="167"/>
      <c r="BO230" s="167"/>
      <c r="BP230" s="167"/>
      <c r="BQ230" s="167"/>
      <c r="BR230" s="167"/>
      <c r="BS230" s="167"/>
      <c r="BT230" s="167"/>
      <c r="BU230" s="167"/>
      <c r="BV230" s="167"/>
      <c r="BW230" s="159"/>
      <c r="BX230" s="159"/>
      <c r="BY230" s="159"/>
      <c r="BZ230" s="159"/>
      <c r="CA230" s="159"/>
      <c r="CB230" s="159"/>
      <c r="CC230" s="159"/>
      <c r="CD230" s="159"/>
      <c r="CE230" s="159"/>
      <c r="CF230" s="159"/>
      <c r="CG230" s="159"/>
      <c r="CH230" s="159"/>
      <c r="CI230" s="159"/>
      <c r="CJ230" s="159"/>
      <c r="CK230" s="159"/>
      <c r="CL230" s="159"/>
      <c r="CM230" s="159"/>
      <c r="CN230" s="159"/>
      <c r="CO230" s="159"/>
      <c r="CP230" s="159"/>
      <c r="CQ230" s="159"/>
      <c r="CR230" s="159"/>
      <c r="CS230" s="159"/>
      <c r="CT230" s="159"/>
      <c r="CU230" s="159"/>
      <c r="CV230" s="159"/>
      <c r="CW230" s="159"/>
      <c r="CX230" s="159"/>
      <c r="CY230" s="134"/>
    </row>
    <row r="231" spans="1:103" ht="12.75" customHeight="1" x14ac:dyDescent="0.3">
      <c r="A231" s="155"/>
      <c r="B231" s="134"/>
      <c r="C231" s="134"/>
      <c r="D231" s="134"/>
      <c r="E231" s="157"/>
      <c r="F231" s="157"/>
      <c r="G231" s="157"/>
      <c r="H231" s="157"/>
      <c r="I231" s="158"/>
      <c r="J231" s="159"/>
      <c r="K231" s="159"/>
      <c r="L231" s="159"/>
      <c r="M231" s="160"/>
      <c r="N231" s="160"/>
      <c r="O231" s="160"/>
      <c r="P231" s="158"/>
      <c r="Q231" s="158"/>
      <c r="R231" s="158"/>
      <c r="S231" s="158"/>
      <c r="T231" s="158"/>
      <c r="U231" s="158"/>
      <c r="V231" s="159"/>
      <c r="W231" s="159"/>
      <c r="X231" s="159"/>
      <c r="Y231" s="158"/>
      <c r="Z231" s="159"/>
      <c r="AA231" s="160"/>
      <c r="AB231" s="160"/>
      <c r="AC231" s="160"/>
      <c r="AD231" s="160"/>
      <c r="AE231" s="160"/>
      <c r="AF231" s="159"/>
      <c r="AG231" s="159"/>
      <c r="AH231" s="159"/>
      <c r="AI231" s="159"/>
      <c r="AJ231" s="159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  <c r="BJ231" s="167"/>
      <c r="BK231" s="167"/>
      <c r="BL231" s="167"/>
      <c r="BM231" s="167"/>
      <c r="BN231" s="167"/>
      <c r="BO231" s="167"/>
      <c r="BP231" s="167"/>
      <c r="BQ231" s="167"/>
      <c r="BR231" s="167"/>
      <c r="BS231" s="167"/>
      <c r="BT231" s="167"/>
      <c r="BU231" s="167"/>
      <c r="BV231" s="167"/>
      <c r="BW231" s="159"/>
      <c r="BX231" s="159"/>
      <c r="BY231" s="159"/>
      <c r="BZ231" s="159"/>
      <c r="CA231" s="159"/>
      <c r="CB231" s="159"/>
      <c r="CC231" s="159"/>
      <c r="CD231" s="159"/>
      <c r="CE231" s="159"/>
      <c r="CF231" s="159"/>
      <c r="CG231" s="159"/>
      <c r="CH231" s="159"/>
      <c r="CI231" s="159"/>
      <c r="CJ231" s="159"/>
      <c r="CK231" s="159"/>
      <c r="CL231" s="159"/>
      <c r="CM231" s="159"/>
      <c r="CN231" s="159"/>
      <c r="CO231" s="159"/>
      <c r="CP231" s="159"/>
      <c r="CQ231" s="159"/>
      <c r="CR231" s="159"/>
      <c r="CS231" s="159"/>
      <c r="CT231" s="159"/>
      <c r="CU231" s="159"/>
      <c r="CV231" s="159"/>
      <c r="CW231" s="159"/>
      <c r="CX231" s="159"/>
      <c r="CY231" s="134"/>
    </row>
    <row r="232" spans="1:103" ht="12.75" customHeight="1" x14ac:dyDescent="0.3">
      <c r="A232" s="155"/>
      <c r="B232" s="134"/>
      <c r="C232" s="134"/>
      <c r="D232" s="134"/>
      <c r="E232" s="157"/>
      <c r="F232" s="157"/>
      <c r="G232" s="157"/>
      <c r="H232" s="157"/>
      <c r="I232" s="158"/>
      <c r="J232" s="159"/>
      <c r="K232" s="159"/>
      <c r="L232" s="159"/>
      <c r="M232" s="160"/>
      <c r="N232" s="160"/>
      <c r="O232" s="160"/>
      <c r="P232" s="158"/>
      <c r="Q232" s="158"/>
      <c r="R232" s="158"/>
      <c r="S232" s="158"/>
      <c r="T232" s="158"/>
      <c r="U232" s="158"/>
      <c r="V232" s="159"/>
      <c r="W232" s="159"/>
      <c r="X232" s="159"/>
      <c r="Y232" s="158"/>
      <c r="Z232" s="159"/>
      <c r="AA232" s="160"/>
      <c r="AB232" s="160"/>
      <c r="AC232" s="160"/>
      <c r="AD232" s="160"/>
      <c r="AE232" s="160"/>
      <c r="AF232" s="159"/>
      <c r="AG232" s="159"/>
      <c r="AH232" s="159"/>
      <c r="AI232" s="159"/>
      <c r="AJ232" s="159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167"/>
      <c r="BK232" s="167"/>
      <c r="BL232" s="167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59"/>
      <c r="BX232" s="159"/>
      <c r="BY232" s="159"/>
      <c r="BZ232" s="159"/>
      <c r="CA232" s="159"/>
      <c r="CB232" s="159"/>
      <c r="CC232" s="159"/>
      <c r="CD232" s="159"/>
      <c r="CE232" s="159"/>
      <c r="CF232" s="159"/>
      <c r="CG232" s="159"/>
      <c r="CH232" s="159"/>
      <c r="CI232" s="159"/>
      <c r="CJ232" s="159"/>
      <c r="CK232" s="159"/>
      <c r="CL232" s="159"/>
      <c r="CM232" s="159"/>
      <c r="CN232" s="159"/>
      <c r="CO232" s="159"/>
      <c r="CP232" s="159"/>
      <c r="CQ232" s="159"/>
      <c r="CR232" s="159"/>
      <c r="CS232" s="159"/>
      <c r="CT232" s="159"/>
      <c r="CU232" s="159"/>
      <c r="CV232" s="159"/>
      <c r="CW232" s="159"/>
      <c r="CX232" s="159"/>
      <c r="CY232" s="134"/>
    </row>
    <row r="233" spans="1:103" ht="12.75" customHeight="1" x14ac:dyDescent="0.3">
      <c r="A233" s="155"/>
      <c r="B233" s="134"/>
      <c r="C233" s="134"/>
      <c r="D233" s="134"/>
      <c r="E233" s="157"/>
      <c r="F233" s="157"/>
      <c r="G233" s="157"/>
      <c r="H233" s="157"/>
      <c r="I233" s="158"/>
      <c r="J233" s="159"/>
      <c r="K233" s="159"/>
      <c r="L233" s="159"/>
      <c r="M233" s="160"/>
      <c r="N233" s="160"/>
      <c r="O233" s="160"/>
      <c r="P233" s="158"/>
      <c r="Q233" s="158"/>
      <c r="R233" s="158"/>
      <c r="S233" s="158"/>
      <c r="T233" s="158"/>
      <c r="U233" s="158"/>
      <c r="V233" s="159"/>
      <c r="W233" s="159"/>
      <c r="X233" s="159"/>
      <c r="Y233" s="158"/>
      <c r="Z233" s="159"/>
      <c r="AA233" s="160"/>
      <c r="AB233" s="160"/>
      <c r="AC233" s="160"/>
      <c r="AD233" s="160"/>
      <c r="AE233" s="160"/>
      <c r="AF233" s="159"/>
      <c r="AG233" s="159"/>
      <c r="AH233" s="159"/>
      <c r="AI233" s="159"/>
      <c r="AJ233" s="159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167"/>
      <c r="BK233" s="167"/>
      <c r="BL233" s="167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59"/>
      <c r="BX233" s="159"/>
      <c r="BY233" s="159"/>
      <c r="BZ233" s="159"/>
      <c r="CA233" s="159"/>
      <c r="CB233" s="159"/>
      <c r="CC233" s="159"/>
      <c r="CD233" s="159"/>
      <c r="CE233" s="159"/>
      <c r="CF233" s="159"/>
      <c r="CG233" s="159"/>
      <c r="CH233" s="159"/>
      <c r="CI233" s="159"/>
      <c r="CJ233" s="159"/>
      <c r="CK233" s="159"/>
      <c r="CL233" s="159"/>
      <c r="CM233" s="159"/>
      <c r="CN233" s="159"/>
      <c r="CO233" s="159"/>
      <c r="CP233" s="159"/>
      <c r="CQ233" s="159"/>
      <c r="CR233" s="159"/>
      <c r="CS233" s="159"/>
      <c r="CT233" s="159"/>
      <c r="CU233" s="159"/>
      <c r="CV233" s="159"/>
      <c r="CW233" s="159"/>
      <c r="CX233" s="159"/>
      <c r="CY233" s="134"/>
    </row>
    <row r="234" spans="1:103" ht="12.75" customHeight="1" x14ac:dyDescent="0.3">
      <c r="A234" s="155"/>
      <c r="B234" s="134"/>
      <c r="C234" s="134"/>
      <c r="D234" s="134"/>
      <c r="E234" s="157"/>
      <c r="F234" s="157"/>
      <c r="G234" s="157"/>
      <c r="H234" s="157"/>
      <c r="I234" s="158"/>
      <c r="J234" s="159"/>
      <c r="K234" s="159"/>
      <c r="L234" s="159"/>
      <c r="M234" s="160"/>
      <c r="N234" s="160"/>
      <c r="O234" s="160"/>
      <c r="P234" s="158"/>
      <c r="Q234" s="158"/>
      <c r="R234" s="158"/>
      <c r="S234" s="158"/>
      <c r="T234" s="158"/>
      <c r="U234" s="158"/>
      <c r="V234" s="159"/>
      <c r="W234" s="159"/>
      <c r="X234" s="159"/>
      <c r="Y234" s="158"/>
      <c r="Z234" s="159"/>
      <c r="AA234" s="160"/>
      <c r="AB234" s="160"/>
      <c r="AC234" s="160"/>
      <c r="AD234" s="160"/>
      <c r="AE234" s="160"/>
      <c r="AF234" s="159"/>
      <c r="AG234" s="159"/>
      <c r="AH234" s="159"/>
      <c r="AI234" s="159"/>
      <c r="AJ234" s="159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  <c r="BJ234" s="167"/>
      <c r="BK234" s="167"/>
      <c r="BL234" s="167"/>
      <c r="BM234" s="167"/>
      <c r="BN234" s="167"/>
      <c r="BO234" s="167"/>
      <c r="BP234" s="167"/>
      <c r="BQ234" s="167"/>
      <c r="BR234" s="167"/>
      <c r="BS234" s="167"/>
      <c r="BT234" s="167"/>
      <c r="BU234" s="167"/>
      <c r="BV234" s="167"/>
      <c r="BW234" s="159"/>
      <c r="BX234" s="159"/>
      <c r="BY234" s="159"/>
      <c r="BZ234" s="159"/>
      <c r="CA234" s="159"/>
      <c r="CB234" s="159"/>
      <c r="CC234" s="159"/>
      <c r="CD234" s="159"/>
      <c r="CE234" s="159"/>
      <c r="CF234" s="159"/>
      <c r="CG234" s="159"/>
      <c r="CH234" s="159"/>
      <c r="CI234" s="159"/>
      <c r="CJ234" s="159"/>
      <c r="CK234" s="159"/>
      <c r="CL234" s="159"/>
      <c r="CM234" s="159"/>
      <c r="CN234" s="159"/>
      <c r="CO234" s="159"/>
      <c r="CP234" s="159"/>
      <c r="CQ234" s="159"/>
      <c r="CR234" s="159"/>
      <c r="CS234" s="159"/>
      <c r="CT234" s="159"/>
      <c r="CU234" s="159"/>
      <c r="CV234" s="159"/>
      <c r="CW234" s="159"/>
      <c r="CX234" s="159"/>
      <c r="CY234" s="134"/>
    </row>
    <row r="235" spans="1:103" ht="12.75" customHeight="1" x14ac:dyDescent="0.3">
      <c r="A235" s="155"/>
      <c r="B235" s="134"/>
      <c r="C235" s="134"/>
      <c r="D235" s="134"/>
      <c r="E235" s="157"/>
      <c r="F235" s="157"/>
      <c r="G235" s="157"/>
      <c r="H235" s="157"/>
      <c r="I235" s="158"/>
      <c r="J235" s="159"/>
      <c r="K235" s="159"/>
      <c r="L235" s="159"/>
      <c r="M235" s="160"/>
      <c r="N235" s="160"/>
      <c r="O235" s="160"/>
      <c r="P235" s="158"/>
      <c r="Q235" s="158"/>
      <c r="R235" s="158"/>
      <c r="S235" s="158"/>
      <c r="T235" s="158"/>
      <c r="U235" s="158"/>
      <c r="V235" s="159"/>
      <c r="W235" s="159"/>
      <c r="X235" s="159"/>
      <c r="Y235" s="158"/>
      <c r="Z235" s="159"/>
      <c r="AA235" s="160"/>
      <c r="AB235" s="160"/>
      <c r="AC235" s="160"/>
      <c r="AD235" s="160"/>
      <c r="AE235" s="160"/>
      <c r="AF235" s="159"/>
      <c r="AG235" s="159"/>
      <c r="AH235" s="159"/>
      <c r="AI235" s="159"/>
      <c r="AJ235" s="159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  <c r="BJ235" s="167"/>
      <c r="BK235" s="167"/>
      <c r="BL235" s="167"/>
      <c r="BM235" s="167"/>
      <c r="BN235" s="167"/>
      <c r="BO235" s="167"/>
      <c r="BP235" s="167"/>
      <c r="BQ235" s="167"/>
      <c r="BR235" s="167"/>
      <c r="BS235" s="167"/>
      <c r="BT235" s="167"/>
      <c r="BU235" s="167"/>
      <c r="BV235" s="167"/>
      <c r="BW235" s="159"/>
      <c r="BX235" s="159"/>
      <c r="BY235" s="159"/>
      <c r="BZ235" s="159"/>
      <c r="CA235" s="159"/>
      <c r="CB235" s="159"/>
      <c r="CC235" s="159"/>
      <c r="CD235" s="159"/>
      <c r="CE235" s="159"/>
      <c r="CF235" s="159"/>
      <c r="CG235" s="159"/>
      <c r="CH235" s="159"/>
      <c r="CI235" s="159"/>
      <c r="CJ235" s="159"/>
      <c r="CK235" s="159"/>
      <c r="CL235" s="159"/>
      <c r="CM235" s="159"/>
      <c r="CN235" s="159"/>
      <c r="CO235" s="159"/>
      <c r="CP235" s="159"/>
      <c r="CQ235" s="159"/>
      <c r="CR235" s="159"/>
      <c r="CS235" s="159"/>
      <c r="CT235" s="159"/>
      <c r="CU235" s="159"/>
      <c r="CV235" s="159"/>
      <c r="CW235" s="159"/>
      <c r="CX235" s="159"/>
      <c r="CY235" s="134"/>
    </row>
    <row r="236" spans="1:103" ht="12.75" customHeight="1" x14ac:dyDescent="0.3">
      <c r="A236" s="155"/>
      <c r="B236" s="134"/>
      <c r="C236" s="134"/>
      <c r="D236" s="134"/>
      <c r="E236" s="157"/>
      <c r="F236" s="157"/>
      <c r="G236" s="157"/>
      <c r="H236" s="157"/>
      <c r="I236" s="158"/>
      <c r="J236" s="159"/>
      <c r="K236" s="159"/>
      <c r="L236" s="159"/>
      <c r="M236" s="160"/>
      <c r="N236" s="160"/>
      <c r="O236" s="160"/>
      <c r="P236" s="158"/>
      <c r="Q236" s="158"/>
      <c r="R236" s="158"/>
      <c r="S236" s="158"/>
      <c r="T236" s="158"/>
      <c r="U236" s="158"/>
      <c r="V236" s="159"/>
      <c r="W236" s="159"/>
      <c r="X236" s="159"/>
      <c r="Y236" s="158"/>
      <c r="Z236" s="159"/>
      <c r="AA236" s="160"/>
      <c r="AB236" s="160"/>
      <c r="AC236" s="160"/>
      <c r="AD236" s="160"/>
      <c r="AE236" s="160"/>
      <c r="AF236" s="159"/>
      <c r="AG236" s="159"/>
      <c r="AH236" s="159"/>
      <c r="AI236" s="159"/>
      <c r="AJ236" s="159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67"/>
      <c r="AU236" s="167"/>
      <c r="AV236" s="167"/>
      <c r="AW236" s="167"/>
      <c r="AX236" s="167"/>
      <c r="AY236" s="167"/>
      <c r="AZ236" s="167"/>
      <c r="BA236" s="167"/>
      <c r="BB236" s="167"/>
      <c r="BC236" s="167"/>
      <c r="BD236" s="167"/>
      <c r="BE236" s="167"/>
      <c r="BF236" s="167"/>
      <c r="BG236" s="167"/>
      <c r="BH236" s="167"/>
      <c r="BI236" s="167"/>
      <c r="BJ236" s="167"/>
      <c r="BK236" s="167"/>
      <c r="BL236" s="167"/>
      <c r="BM236" s="167"/>
      <c r="BN236" s="167"/>
      <c r="BO236" s="167"/>
      <c r="BP236" s="167"/>
      <c r="BQ236" s="167"/>
      <c r="BR236" s="167"/>
      <c r="BS236" s="167"/>
      <c r="BT236" s="167"/>
      <c r="BU236" s="167"/>
      <c r="BV236" s="167"/>
      <c r="BW236" s="159"/>
      <c r="BX236" s="159"/>
      <c r="BY236" s="159"/>
      <c r="BZ236" s="159"/>
      <c r="CA236" s="159"/>
      <c r="CB236" s="159"/>
      <c r="CC236" s="159"/>
      <c r="CD236" s="159"/>
      <c r="CE236" s="159"/>
      <c r="CF236" s="159"/>
      <c r="CG236" s="159"/>
      <c r="CH236" s="159"/>
      <c r="CI236" s="159"/>
      <c r="CJ236" s="159"/>
      <c r="CK236" s="159"/>
      <c r="CL236" s="159"/>
      <c r="CM236" s="159"/>
      <c r="CN236" s="159"/>
      <c r="CO236" s="159"/>
      <c r="CP236" s="159"/>
      <c r="CQ236" s="159"/>
      <c r="CR236" s="159"/>
      <c r="CS236" s="159"/>
      <c r="CT236" s="159"/>
      <c r="CU236" s="159"/>
      <c r="CV236" s="159"/>
      <c r="CW236" s="159"/>
      <c r="CX236" s="159"/>
      <c r="CY236" s="134"/>
    </row>
    <row r="237" spans="1:103" ht="12.75" customHeight="1" x14ac:dyDescent="0.3">
      <c r="A237" s="155"/>
      <c r="B237" s="134"/>
      <c r="C237" s="134"/>
      <c r="D237" s="134"/>
      <c r="E237" s="157"/>
      <c r="F237" s="157"/>
      <c r="G237" s="157"/>
      <c r="H237" s="157"/>
      <c r="I237" s="158"/>
      <c r="J237" s="159"/>
      <c r="K237" s="159"/>
      <c r="L237" s="159"/>
      <c r="M237" s="160"/>
      <c r="N237" s="160"/>
      <c r="O237" s="160"/>
      <c r="P237" s="158"/>
      <c r="Q237" s="158"/>
      <c r="R237" s="158"/>
      <c r="S237" s="158"/>
      <c r="T237" s="158"/>
      <c r="U237" s="158"/>
      <c r="V237" s="159"/>
      <c r="W237" s="159"/>
      <c r="X237" s="159"/>
      <c r="Y237" s="158"/>
      <c r="Z237" s="159"/>
      <c r="AA237" s="160"/>
      <c r="AB237" s="160"/>
      <c r="AC237" s="160"/>
      <c r="AD237" s="160"/>
      <c r="AE237" s="160"/>
      <c r="AF237" s="159"/>
      <c r="AG237" s="159"/>
      <c r="AH237" s="159"/>
      <c r="AI237" s="159"/>
      <c r="AJ237" s="159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67"/>
      <c r="AU237" s="167"/>
      <c r="AV237" s="167"/>
      <c r="AW237" s="167"/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7"/>
      <c r="BI237" s="167"/>
      <c r="BJ237" s="167"/>
      <c r="BK237" s="167"/>
      <c r="BL237" s="167"/>
      <c r="BM237" s="167"/>
      <c r="BN237" s="167"/>
      <c r="BO237" s="167"/>
      <c r="BP237" s="167"/>
      <c r="BQ237" s="167"/>
      <c r="BR237" s="167"/>
      <c r="BS237" s="167"/>
      <c r="BT237" s="167"/>
      <c r="BU237" s="167"/>
      <c r="BV237" s="167"/>
      <c r="BW237" s="159"/>
      <c r="BX237" s="159"/>
      <c r="BY237" s="159"/>
      <c r="BZ237" s="159"/>
      <c r="CA237" s="159"/>
      <c r="CB237" s="159"/>
      <c r="CC237" s="159"/>
      <c r="CD237" s="159"/>
      <c r="CE237" s="159"/>
      <c r="CF237" s="159"/>
      <c r="CG237" s="159"/>
      <c r="CH237" s="159"/>
      <c r="CI237" s="159"/>
      <c r="CJ237" s="159"/>
      <c r="CK237" s="159"/>
      <c r="CL237" s="159"/>
      <c r="CM237" s="159"/>
      <c r="CN237" s="159"/>
      <c r="CO237" s="159"/>
      <c r="CP237" s="159"/>
      <c r="CQ237" s="159"/>
      <c r="CR237" s="159"/>
      <c r="CS237" s="159"/>
      <c r="CT237" s="159"/>
      <c r="CU237" s="159"/>
      <c r="CV237" s="159"/>
      <c r="CW237" s="159"/>
      <c r="CX237" s="159"/>
      <c r="CY237" s="134"/>
    </row>
    <row r="238" spans="1:103" ht="12.75" customHeight="1" x14ac:dyDescent="0.3">
      <c r="A238" s="155"/>
      <c r="B238" s="134"/>
      <c r="C238" s="134"/>
      <c r="D238" s="134"/>
      <c r="E238" s="157"/>
      <c r="F238" s="157"/>
      <c r="G238" s="157"/>
      <c r="H238" s="157"/>
      <c r="I238" s="158"/>
      <c r="J238" s="159"/>
      <c r="K238" s="159"/>
      <c r="L238" s="159"/>
      <c r="M238" s="160"/>
      <c r="N238" s="160"/>
      <c r="O238" s="160"/>
      <c r="P238" s="158"/>
      <c r="Q238" s="158"/>
      <c r="R238" s="158"/>
      <c r="S238" s="158"/>
      <c r="T238" s="158"/>
      <c r="U238" s="158"/>
      <c r="V238" s="159"/>
      <c r="W238" s="159"/>
      <c r="X238" s="159"/>
      <c r="Y238" s="158"/>
      <c r="Z238" s="159"/>
      <c r="AA238" s="160"/>
      <c r="AB238" s="160"/>
      <c r="AC238" s="160"/>
      <c r="AD238" s="160"/>
      <c r="AE238" s="160"/>
      <c r="AF238" s="159"/>
      <c r="AG238" s="159"/>
      <c r="AH238" s="159"/>
      <c r="AI238" s="159"/>
      <c r="AJ238" s="159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67"/>
      <c r="AU238" s="167"/>
      <c r="AV238" s="167"/>
      <c r="AW238" s="167"/>
      <c r="AX238" s="167"/>
      <c r="AY238" s="167"/>
      <c r="AZ238" s="167"/>
      <c r="BA238" s="167"/>
      <c r="BB238" s="167"/>
      <c r="BC238" s="167"/>
      <c r="BD238" s="167"/>
      <c r="BE238" s="167"/>
      <c r="BF238" s="167"/>
      <c r="BG238" s="167"/>
      <c r="BH238" s="167"/>
      <c r="BI238" s="167"/>
      <c r="BJ238" s="167"/>
      <c r="BK238" s="167"/>
      <c r="BL238" s="167"/>
      <c r="BM238" s="167"/>
      <c r="BN238" s="167"/>
      <c r="BO238" s="167"/>
      <c r="BP238" s="167"/>
      <c r="BQ238" s="167"/>
      <c r="BR238" s="167"/>
      <c r="BS238" s="167"/>
      <c r="BT238" s="167"/>
      <c r="BU238" s="167"/>
      <c r="BV238" s="167"/>
      <c r="BW238" s="159"/>
      <c r="BX238" s="159"/>
      <c r="BY238" s="159"/>
      <c r="BZ238" s="159"/>
      <c r="CA238" s="159"/>
      <c r="CB238" s="159"/>
      <c r="CC238" s="159"/>
      <c r="CD238" s="159"/>
      <c r="CE238" s="159"/>
      <c r="CF238" s="159"/>
      <c r="CG238" s="159"/>
      <c r="CH238" s="159"/>
      <c r="CI238" s="159"/>
      <c r="CJ238" s="159"/>
      <c r="CK238" s="159"/>
      <c r="CL238" s="159"/>
      <c r="CM238" s="159"/>
      <c r="CN238" s="159"/>
      <c r="CO238" s="159"/>
      <c r="CP238" s="159"/>
      <c r="CQ238" s="159"/>
      <c r="CR238" s="159"/>
      <c r="CS238" s="159"/>
      <c r="CT238" s="159"/>
      <c r="CU238" s="159"/>
      <c r="CV238" s="159"/>
      <c r="CW238" s="159"/>
      <c r="CX238" s="159"/>
      <c r="CY238" s="134"/>
    </row>
    <row r="239" spans="1:103" ht="12.75" customHeight="1" x14ac:dyDescent="0.3">
      <c r="A239" s="155"/>
      <c r="B239" s="134"/>
      <c r="C239" s="134"/>
      <c r="D239" s="134"/>
      <c r="E239" s="157"/>
      <c r="F239" s="157"/>
      <c r="G239" s="157"/>
      <c r="H239" s="157"/>
      <c r="I239" s="158"/>
      <c r="J239" s="159"/>
      <c r="K239" s="159"/>
      <c r="L239" s="159"/>
      <c r="M239" s="160"/>
      <c r="N239" s="160"/>
      <c r="O239" s="160"/>
      <c r="P239" s="158"/>
      <c r="Q239" s="158"/>
      <c r="R239" s="158"/>
      <c r="S239" s="158"/>
      <c r="T239" s="158"/>
      <c r="U239" s="158"/>
      <c r="V239" s="159"/>
      <c r="W239" s="159"/>
      <c r="X239" s="159"/>
      <c r="Y239" s="158"/>
      <c r="Z239" s="159"/>
      <c r="AA239" s="160"/>
      <c r="AB239" s="160"/>
      <c r="AC239" s="160"/>
      <c r="AD239" s="160"/>
      <c r="AE239" s="160"/>
      <c r="AF239" s="159"/>
      <c r="AG239" s="159"/>
      <c r="AH239" s="159"/>
      <c r="AI239" s="159"/>
      <c r="AJ239" s="159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67"/>
      <c r="AU239" s="167"/>
      <c r="AV239" s="167"/>
      <c r="AW239" s="167"/>
      <c r="AX239" s="167"/>
      <c r="AY239" s="167"/>
      <c r="AZ239" s="167"/>
      <c r="BA239" s="167"/>
      <c r="BB239" s="167"/>
      <c r="BC239" s="167"/>
      <c r="BD239" s="167"/>
      <c r="BE239" s="167"/>
      <c r="BF239" s="167"/>
      <c r="BG239" s="167"/>
      <c r="BH239" s="167"/>
      <c r="BI239" s="167"/>
      <c r="BJ239" s="167"/>
      <c r="BK239" s="167"/>
      <c r="BL239" s="167"/>
      <c r="BM239" s="167"/>
      <c r="BN239" s="167"/>
      <c r="BO239" s="167"/>
      <c r="BP239" s="167"/>
      <c r="BQ239" s="167"/>
      <c r="BR239" s="167"/>
      <c r="BS239" s="167"/>
      <c r="BT239" s="167"/>
      <c r="BU239" s="167"/>
      <c r="BV239" s="167"/>
      <c r="BW239" s="159"/>
      <c r="BX239" s="159"/>
      <c r="BY239" s="159"/>
      <c r="BZ239" s="159"/>
      <c r="CA239" s="159"/>
      <c r="CB239" s="159"/>
      <c r="CC239" s="159"/>
      <c r="CD239" s="159"/>
      <c r="CE239" s="159"/>
      <c r="CF239" s="159"/>
      <c r="CG239" s="159"/>
      <c r="CH239" s="159"/>
      <c r="CI239" s="159"/>
      <c r="CJ239" s="159"/>
      <c r="CK239" s="159"/>
      <c r="CL239" s="159"/>
      <c r="CM239" s="159"/>
      <c r="CN239" s="159"/>
      <c r="CO239" s="159"/>
      <c r="CP239" s="159"/>
      <c r="CQ239" s="159"/>
      <c r="CR239" s="159"/>
      <c r="CS239" s="159"/>
      <c r="CT239" s="159"/>
      <c r="CU239" s="159"/>
      <c r="CV239" s="159"/>
      <c r="CW239" s="159"/>
      <c r="CX239" s="159"/>
      <c r="CY239" s="134"/>
    </row>
    <row r="240" spans="1:103" ht="12.75" customHeight="1" x14ac:dyDescent="0.3">
      <c r="A240" s="155"/>
      <c r="B240" s="134"/>
      <c r="C240" s="134"/>
      <c r="D240" s="134"/>
      <c r="E240" s="157"/>
      <c r="F240" s="157"/>
      <c r="G240" s="157"/>
      <c r="H240" s="157"/>
      <c r="I240" s="158"/>
      <c r="J240" s="159"/>
      <c r="K240" s="159"/>
      <c r="L240" s="159"/>
      <c r="M240" s="160"/>
      <c r="N240" s="160"/>
      <c r="O240" s="160"/>
      <c r="P240" s="158"/>
      <c r="Q240" s="158"/>
      <c r="R240" s="158"/>
      <c r="S240" s="158"/>
      <c r="T240" s="158"/>
      <c r="U240" s="158"/>
      <c r="V240" s="159"/>
      <c r="W240" s="159"/>
      <c r="X240" s="159"/>
      <c r="Y240" s="158"/>
      <c r="Z240" s="159"/>
      <c r="AA240" s="160"/>
      <c r="AB240" s="160"/>
      <c r="AC240" s="160"/>
      <c r="AD240" s="160"/>
      <c r="AE240" s="160"/>
      <c r="AF240" s="159"/>
      <c r="AG240" s="159"/>
      <c r="AH240" s="159"/>
      <c r="AI240" s="159"/>
      <c r="AJ240" s="159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67"/>
      <c r="AU240" s="167"/>
      <c r="AV240" s="167"/>
      <c r="AW240" s="167"/>
      <c r="AX240" s="167"/>
      <c r="AY240" s="167"/>
      <c r="AZ240" s="167"/>
      <c r="BA240" s="167"/>
      <c r="BB240" s="167"/>
      <c r="BC240" s="167"/>
      <c r="BD240" s="167"/>
      <c r="BE240" s="167"/>
      <c r="BF240" s="167"/>
      <c r="BG240" s="167"/>
      <c r="BH240" s="167"/>
      <c r="BI240" s="167"/>
      <c r="BJ240" s="167"/>
      <c r="BK240" s="167"/>
      <c r="BL240" s="167"/>
      <c r="BM240" s="167"/>
      <c r="BN240" s="167"/>
      <c r="BO240" s="167"/>
      <c r="BP240" s="167"/>
      <c r="BQ240" s="167"/>
      <c r="BR240" s="167"/>
      <c r="BS240" s="167"/>
      <c r="BT240" s="167"/>
      <c r="BU240" s="167"/>
      <c r="BV240" s="167"/>
      <c r="BW240" s="159"/>
      <c r="BX240" s="159"/>
      <c r="BY240" s="159"/>
      <c r="BZ240" s="159"/>
      <c r="CA240" s="159"/>
      <c r="CB240" s="159"/>
      <c r="CC240" s="159"/>
      <c r="CD240" s="159"/>
      <c r="CE240" s="159"/>
      <c r="CF240" s="159"/>
      <c r="CG240" s="159"/>
      <c r="CH240" s="159"/>
      <c r="CI240" s="159"/>
      <c r="CJ240" s="159"/>
      <c r="CK240" s="159"/>
      <c r="CL240" s="159"/>
      <c r="CM240" s="159"/>
      <c r="CN240" s="159"/>
      <c r="CO240" s="159"/>
      <c r="CP240" s="159"/>
      <c r="CQ240" s="159"/>
      <c r="CR240" s="159"/>
      <c r="CS240" s="159"/>
      <c r="CT240" s="159"/>
      <c r="CU240" s="159"/>
      <c r="CV240" s="159"/>
      <c r="CW240" s="159"/>
      <c r="CX240" s="159"/>
      <c r="CY240" s="134"/>
    </row>
    <row r="241" spans="1:103" ht="12.75" customHeight="1" x14ac:dyDescent="0.3">
      <c r="A241" s="155"/>
      <c r="B241" s="134"/>
      <c r="C241" s="134"/>
      <c r="D241" s="134"/>
      <c r="E241" s="157"/>
      <c r="F241" s="157"/>
      <c r="G241" s="157"/>
      <c r="H241" s="157"/>
      <c r="I241" s="158"/>
      <c r="J241" s="159"/>
      <c r="K241" s="159"/>
      <c r="L241" s="159"/>
      <c r="M241" s="160"/>
      <c r="N241" s="160"/>
      <c r="O241" s="160"/>
      <c r="P241" s="158"/>
      <c r="Q241" s="158"/>
      <c r="R241" s="158"/>
      <c r="S241" s="158"/>
      <c r="T241" s="158"/>
      <c r="U241" s="158"/>
      <c r="V241" s="159"/>
      <c r="W241" s="159"/>
      <c r="X241" s="159"/>
      <c r="Y241" s="158"/>
      <c r="Z241" s="159"/>
      <c r="AA241" s="160"/>
      <c r="AB241" s="160"/>
      <c r="AC241" s="160"/>
      <c r="AD241" s="160"/>
      <c r="AE241" s="160"/>
      <c r="AF241" s="159"/>
      <c r="AG241" s="159"/>
      <c r="AH241" s="159"/>
      <c r="AI241" s="159"/>
      <c r="AJ241" s="159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67"/>
      <c r="AU241" s="167"/>
      <c r="AV241" s="167"/>
      <c r="AW241" s="167"/>
      <c r="AX241" s="167"/>
      <c r="AY241" s="167"/>
      <c r="AZ241" s="167"/>
      <c r="BA241" s="167"/>
      <c r="BB241" s="167"/>
      <c r="BC241" s="167"/>
      <c r="BD241" s="167"/>
      <c r="BE241" s="167"/>
      <c r="BF241" s="167"/>
      <c r="BG241" s="167"/>
      <c r="BH241" s="167"/>
      <c r="BI241" s="167"/>
      <c r="BJ241" s="167"/>
      <c r="BK241" s="167"/>
      <c r="BL241" s="167"/>
      <c r="BM241" s="167"/>
      <c r="BN241" s="167"/>
      <c r="BO241" s="167"/>
      <c r="BP241" s="167"/>
      <c r="BQ241" s="167"/>
      <c r="BR241" s="167"/>
      <c r="BS241" s="167"/>
      <c r="BT241" s="167"/>
      <c r="BU241" s="167"/>
      <c r="BV241" s="167"/>
      <c r="BW241" s="159"/>
      <c r="BX241" s="159"/>
      <c r="BY241" s="159"/>
      <c r="BZ241" s="159"/>
      <c r="CA241" s="159"/>
      <c r="CB241" s="159"/>
      <c r="CC241" s="159"/>
      <c r="CD241" s="159"/>
      <c r="CE241" s="159"/>
      <c r="CF241" s="159"/>
      <c r="CG241" s="159"/>
      <c r="CH241" s="159"/>
      <c r="CI241" s="159"/>
      <c r="CJ241" s="159"/>
      <c r="CK241" s="159"/>
      <c r="CL241" s="159"/>
      <c r="CM241" s="159"/>
      <c r="CN241" s="159"/>
      <c r="CO241" s="159"/>
      <c r="CP241" s="159"/>
      <c r="CQ241" s="159"/>
      <c r="CR241" s="159"/>
      <c r="CS241" s="159"/>
      <c r="CT241" s="159"/>
      <c r="CU241" s="159"/>
      <c r="CV241" s="159"/>
      <c r="CW241" s="159"/>
      <c r="CX241" s="159"/>
      <c r="CY241" s="134"/>
    </row>
    <row r="242" spans="1:103" ht="12.75" customHeight="1" x14ac:dyDescent="0.3">
      <c r="A242" s="155"/>
      <c r="B242" s="134"/>
      <c r="C242" s="134"/>
      <c r="D242" s="134"/>
      <c r="E242" s="157"/>
      <c r="F242" s="157"/>
      <c r="G242" s="157"/>
      <c r="H242" s="157"/>
      <c r="I242" s="158"/>
      <c r="J242" s="159"/>
      <c r="K242" s="159"/>
      <c r="L242" s="159"/>
      <c r="M242" s="160"/>
      <c r="N242" s="160"/>
      <c r="O242" s="160"/>
      <c r="P242" s="158"/>
      <c r="Q242" s="158"/>
      <c r="R242" s="158"/>
      <c r="S242" s="158"/>
      <c r="T242" s="158"/>
      <c r="U242" s="158"/>
      <c r="V242" s="159"/>
      <c r="W242" s="159"/>
      <c r="X242" s="159"/>
      <c r="Y242" s="158"/>
      <c r="Z242" s="159"/>
      <c r="AA242" s="160"/>
      <c r="AB242" s="160"/>
      <c r="AC242" s="160"/>
      <c r="AD242" s="160"/>
      <c r="AE242" s="160"/>
      <c r="AF242" s="159"/>
      <c r="AG242" s="159"/>
      <c r="AH242" s="159"/>
      <c r="AI242" s="159"/>
      <c r="AJ242" s="159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67"/>
      <c r="AU242" s="167"/>
      <c r="AV242" s="167"/>
      <c r="AW242" s="167"/>
      <c r="AX242" s="167"/>
      <c r="AY242" s="167"/>
      <c r="AZ242" s="167"/>
      <c r="BA242" s="167"/>
      <c r="BB242" s="167"/>
      <c r="BC242" s="167"/>
      <c r="BD242" s="167"/>
      <c r="BE242" s="167"/>
      <c r="BF242" s="167"/>
      <c r="BG242" s="167"/>
      <c r="BH242" s="167"/>
      <c r="BI242" s="167"/>
      <c r="BJ242" s="167"/>
      <c r="BK242" s="167"/>
      <c r="BL242" s="167"/>
      <c r="BM242" s="167"/>
      <c r="BN242" s="167"/>
      <c r="BO242" s="167"/>
      <c r="BP242" s="167"/>
      <c r="BQ242" s="167"/>
      <c r="BR242" s="167"/>
      <c r="BS242" s="167"/>
      <c r="BT242" s="167"/>
      <c r="BU242" s="167"/>
      <c r="BV242" s="167"/>
      <c r="BW242" s="159"/>
      <c r="BX242" s="159"/>
      <c r="BY242" s="159"/>
      <c r="BZ242" s="159"/>
      <c r="CA242" s="159"/>
      <c r="CB242" s="159"/>
      <c r="CC242" s="159"/>
      <c r="CD242" s="159"/>
      <c r="CE242" s="159"/>
      <c r="CF242" s="159"/>
      <c r="CG242" s="159"/>
      <c r="CH242" s="159"/>
      <c r="CI242" s="159"/>
      <c r="CJ242" s="159"/>
      <c r="CK242" s="159"/>
      <c r="CL242" s="159"/>
      <c r="CM242" s="159"/>
      <c r="CN242" s="159"/>
      <c r="CO242" s="159"/>
      <c r="CP242" s="159"/>
      <c r="CQ242" s="159"/>
      <c r="CR242" s="159"/>
      <c r="CS242" s="159"/>
      <c r="CT242" s="159"/>
      <c r="CU242" s="159"/>
      <c r="CV242" s="159"/>
      <c r="CW242" s="159"/>
      <c r="CX242" s="159"/>
      <c r="CY242" s="134"/>
    </row>
    <row r="243" spans="1:103" ht="12.75" customHeight="1" x14ac:dyDescent="0.3">
      <c r="A243" s="155"/>
      <c r="B243" s="134"/>
      <c r="C243" s="134"/>
      <c r="D243" s="134"/>
      <c r="E243" s="157"/>
      <c r="F243" s="157"/>
      <c r="G243" s="157"/>
      <c r="H243" s="157"/>
      <c r="I243" s="158"/>
      <c r="J243" s="159"/>
      <c r="K243" s="159"/>
      <c r="L243" s="159"/>
      <c r="M243" s="160"/>
      <c r="N243" s="160"/>
      <c r="O243" s="160"/>
      <c r="P243" s="158"/>
      <c r="Q243" s="158"/>
      <c r="R243" s="158"/>
      <c r="S243" s="158"/>
      <c r="T243" s="158"/>
      <c r="U243" s="158"/>
      <c r="V243" s="159"/>
      <c r="W243" s="159"/>
      <c r="X243" s="159"/>
      <c r="Y243" s="158"/>
      <c r="Z243" s="159"/>
      <c r="AA243" s="160"/>
      <c r="AB243" s="160"/>
      <c r="AC243" s="160"/>
      <c r="AD243" s="160"/>
      <c r="AE243" s="160"/>
      <c r="AF243" s="159"/>
      <c r="AG243" s="159"/>
      <c r="AH243" s="159"/>
      <c r="AI243" s="159"/>
      <c r="AJ243" s="159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67"/>
      <c r="AU243" s="167"/>
      <c r="AV243" s="167"/>
      <c r="AW243" s="167"/>
      <c r="AX243" s="167"/>
      <c r="AY243" s="167"/>
      <c r="AZ243" s="167"/>
      <c r="BA243" s="167"/>
      <c r="BB243" s="167"/>
      <c r="BC243" s="167"/>
      <c r="BD243" s="167"/>
      <c r="BE243" s="167"/>
      <c r="BF243" s="167"/>
      <c r="BG243" s="167"/>
      <c r="BH243" s="167"/>
      <c r="BI243" s="167"/>
      <c r="BJ243" s="167"/>
      <c r="BK243" s="167"/>
      <c r="BL243" s="167"/>
      <c r="BM243" s="167"/>
      <c r="BN243" s="167"/>
      <c r="BO243" s="167"/>
      <c r="BP243" s="167"/>
      <c r="BQ243" s="167"/>
      <c r="BR243" s="167"/>
      <c r="BS243" s="167"/>
      <c r="BT243" s="167"/>
      <c r="BU243" s="167"/>
      <c r="BV243" s="167"/>
      <c r="BW243" s="159"/>
      <c r="BX243" s="159"/>
      <c r="BY243" s="159"/>
      <c r="BZ243" s="159"/>
      <c r="CA243" s="159"/>
      <c r="CB243" s="159"/>
      <c r="CC243" s="159"/>
      <c r="CD243" s="159"/>
      <c r="CE243" s="159"/>
      <c r="CF243" s="159"/>
      <c r="CG243" s="159"/>
      <c r="CH243" s="159"/>
      <c r="CI243" s="159"/>
      <c r="CJ243" s="159"/>
      <c r="CK243" s="159"/>
      <c r="CL243" s="159"/>
      <c r="CM243" s="159"/>
      <c r="CN243" s="159"/>
      <c r="CO243" s="159"/>
      <c r="CP243" s="159"/>
      <c r="CQ243" s="159"/>
      <c r="CR243" s="159"/>
      <c r="CS243" s="159"/>
      <c r="CT243" s="159"/>
      <c r="CU243" s="159"/>
      <c r="CV243" s="159"/>
      <c r="CW243" s="159"/>
      <c r="CX243" s="159"/>
      <c r="CY243" s="134"/>
    </row>
    <row r="244" spans="1:103" ht="12.75" customHeight="1" x14ac:dyDescent="0.3">
      <c r="A244" s="155"/>
      <c r="B244" s="134"/>
      <c r="C244" s="134"/>
      <c r="D244" s="134"/>
      <c r="E244" s="157"/>
      <c r="F244" s="157"/>
      <c r="G244" s="157"/>
      <c r="H244" s="157"/>
      <c r="I244" s="158"/>
      <c r="J244" s="159"/>
      <c r="K244" s="159"/>
      <c r="L244" s="159"/>
      <c r="M244" s="160"/>
      <c r="N244" s="160"/>
      <c r="O244" s="160"/>
      <c r="P244" s="158"/>
      <c r="Q244" s="158"/>
      <c r="R244" s="158"/>
      <c r="S244" s="158"/>
      <c r="T244" s="158"/>
      <c r="U244" s="158"/>
      <c r="V244" s="159"/>
      <c r="W244" s="159"/>
      <c r="X244" s="159"/>
      <c r="Y244" s="158"/>
      <c r="Z244" s="159"/>
      <c r="AA244" s="160"/>
      <c r="AB244" s="160"/>
      <c r="AC244" s="160"/>
      <c r="AD244" s="160"/>
      <c r="AE244" s="160"/>
      <c r="AF244" s="159"/>
      <c r="AG244" s="159"/>
      <c r="AH244" s="159"/>
      <c r="AI244" s="159"/>
      <c r="AJ244" s="159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67"/>
      <c r="AU244" s="167"/>
      <c r="AV244" s="167"/>
      <c r="AW244" s="167"/>
      <c r="AX244" s="167"/>
      <c r="AY244" s="167"/>
      <c r="AZ244" s="167"/>
      <c r="BA244" s="167"/>
      <c r="BB244" s="167"/>
      <c r="BC244" s="167"/>
      <c r="BD244" s="167"/>
      <c r="BE244" s="167"/>
      <c r="BF244" s="167"/>
      <c r="BG244" s="167"/>
      <c r="BH244" s="167"/>
      <c r="BI244" s="167"/>
      <c r="BJ244" s="167"/>
      <c r="BK244" s="167"/>
      <c r="BL244" s="167"/>
      <c r="BM244" s="167"/>
      <c r="BN244" s="167"/>
      <c r="BO244" s="167"/>
      <c r="BP244" s="167"/>
      <c r="BQ244" s="167"/>
      <c r="BR244" s="167"/>
      <c r="BS244" s="167"/>
      <c r="BT244" s="167"/>
      <c r="BU244" s="167"/>
      <c r="BV244" s="167"/>
      <c r="BW244" s="159"/>
      <c r="BX244" s="159"/>
      <c r="BY244" s="159"/>
      <c r="BZ244" s="159"/>
      <c r="CA244" s="159"/>
      <c r="CB244" s="159"/>
      <c r="CC244" s="159"/>
      <c r="CD244" s="159"/>
      <c r="CE244" s="159"/>
      <c r="CF244" s="159"/>
      <c r="CG244" s="159"/>
      <c r="CH244" s="159"/>
      <c r="CI244" s="159"/>
      <c r="CJ244" s="159"/>
      <c r="CK244" s="159"/>
      <c r="CL244" s="159"/>
      <c r="CM244" s="159"/>
      <c r="CN244" s="159"/>
      <c r="CO244" s="159"/>
      <c r="CP244" s="159"/>
      <c r="CQ244" s="159"/>
      <c r="CR244" s="159"/>
      <c r="CS244" s="159"/>
      <c r="CT244" s="159"/>
      <c r="CU244" s="159"/>
      <c r="CV244" s="159"/>
      <c r="CW244" s="159"/>
      <c r="CX244" s="159"/>
      <c r="CY244" s="134"/>
    </row>
    <row r="245" spans="1:103" ht="12.75" customHeight="1" x14ac:dyDescent="0.3">
      <c r="A245" s="155"/>
      <c r="B245" s="134"/>
      <c r="C245" s="134"/>
      <c r="D245" s="134"/>
      <c r="E245" s="157"/>
      <c r="F245" s="157"/>
      <c r="G245" s="157"/>
      <c r="H245" s="157"/>
      <c r="I245" s="158"/>
      <c r="J245" s="159"/>
      <c r="K245" s="159"/>
      <c r="L245" s="159"/>
      <c r="M245" s="160"/>
      <c r="N245" s="160"/>
      <c r="O245" s="160"/>
      <c r="P245" s="158"/>
      <c r="Q245" s="158"/>
      <c r="R245" s="158"/>
      <c r="S245" s="158"/>
      <c r="T245" s="158"/>
      <c r="U245" s="158"/>
      <c r="V245" s="159"/>
      <c r="W245" s="159"/>
      <c r="X245" s="159"/>
      <c r="Y245" s="158"/>
      <c r="Z245" s="159"/>
      <c r="AA245" s="160"/>
      <c r="AB245" s="160"/>
      <c r="AC245" s="160"/>
      <c r="AD245" s="160"/>
      <c r="AE245" s="160"/>
      <c r="AF245" s="159"/>
      <c r="AG245" s="159"/>
      <c r="AH245" s="159"/>
      <c r="AI245" s="159"/>
      <c r="AJ245" s="159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67"/>
      <c r="AU245" s="167"/>
      <c r="AV245" s="167"/>
      <c r="AW245" s="167"/>
      <c r="AX245" s="167"/>
      <c r="AY245" s="167"/>
      <c r="AZ245" s="167"/>
      <c r="BA245" s="167"/>
      <c r="BB245" s="167"/>
      <c r="BC245" s="167"/>
      <c r="BD245" s="167"/>
      <c r="BE245" s="167"/>
      <c r="BF245" s="167"/>
      <c r="BG245" s="167"/>
      <c r="BH245" s="167"/>
      <c r="BI245" s="167"/>
      <c r="BJ245" s="167"/>
      <c r="BK245" s="167"/>
      <c r="BL245" s="167"/>
      <c r="BM245" s="167"/>
      <c r="BN245" s="167"/>
      <c r="BO245" s="167"/>
      <c r="BP245" s="167"/>
      <c r="BQ245" s="167"/>
      <c r="BR245" s="167"/>
      <c r="BS245" s="167"/>
      <c r="BT245" s="167"/>
      <c r="BU245" s="167"/>
      <c r="BV245" s="167"/>
      <c r="BW245" s="159"/>
      <c r="BX245" s="159"/>
      <c r="BY245" s="159"/>
      <c r="BZ245" s="159"/>
      <c r="CA245" s="159"/>
      <c r="CB245" s="159"/>
      <c r="CC245" s="159"/>
      <c r="CD245" s="159"/>
      <c r="CE245" s="159"/>
      <c r="CF245" s="159"/>
      <c r="CG245" s="159"/>
      <c r="CH245" s="159"/>
      <c r="CI245" s="159"/>
      <c r="CJ245" s="159"/>
      <c r="CK245" s="159"/>
      <c r="CL245" s="159"/>
      <c r="CM245" s="159"/>
      <c r="CN245" s="159"/>
      <c r="CO245" s="159"/>
      <c r="CP245" s="159"/>
      <c r="CQ245" s="159"/>
      <c r="CR245" s="159"/>
      <c r="CS245" s="159"/>
      <c r="CT245" s="159"/>
      <c r="CU245" s="159"/>
      <c r="CV245" s="159"/>
      <c r="CW245" s="159"/>
      <c r="CX245" s="159"/>
      <c r="CY245" s="134"/>
    </row>
    <row r="246" spans="1:103" ht="12.75" customHeight="1" x14ac:dyDescent="0.3">
      <c r="A246" s="155"/>
      <c r="B246" s="134"/>
      <c r="C246" s="134"/>
      <c r="D246" s="134"/>
      <c r="E246" s="157"/>
      <c r="F246" s="157"/>
      <c r="G246" s="157"/>
      <c r="H246" s="157"/>
      <c r="I246" s="158"/>
      <c r="J246" s="159"/>
      <c r="K246" s="159"/>
      <c r="L246" s="159"/>
      <c r="M246" s="160"/>
      <c r="N246" s="160"/>
      <c r="O246" s="160"/>
      <c r="P246" s="158"/>
      <c r="Q246" s="158"/>
      <c r="R246" s="158"/>
      <c r="S246" s="158"/>
      <c r="T246" s="158"/>
      <c r="U246" s="158"/>
      <c r="V246" s="159"/>
      <c r="W246" s="159"/>
      <c r="X246" s="159"/>
      <c r="Y246" s="158"/>
      <c r="Z246" s="159"/>
      <c r="AA246" s="160"/>
      <c r="AB246" s="160"/>
      <c r="AC246" s="160"/>
      <c r="AD246" s="160"/>
      <c r="AE246" s="160"/>
      <c r="AF246" s="159"/>
      <c r="AG246" s="159"/>
      <c r="AH246" s="159"/>
      <c r="AI246" s="159"/>
      <c r="AJ246" s="159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67"/>
      <c r="AU246" s="167"/>
      <c r="AV246" s="167"/>
      <c r="AW246" s="167"/>
      <c r="AX246" s="167"/>
      <c r="AY246" s="167"/>
      <c r="AZ246" s="167"/>
      <c r="BA246" s="167"/>
      <c r="BB246" s="167"/>
      <c r="BC246" s="167"/>
      <c r="BD246" s="167"/>
      <c r="BE246" s="167"/>
      <c r="BF246" s="167"/>
      <c r="BG246" s="167"/>
      <c r="BH246" s="167"/>
      <c r="BI246" s="167"/>
      <c r="BJ246" s="167"/>
      <c r="BK246" s="167"/>
      <c r="BL246" s="167"/>
      <c r="BM246" s="167"/>
      <c r="BN246" s="167"/>
      <c r="BO246" s="167"/>
      <c r="BP246" s="167"/>
      <c r="BQ246" s="167"/>
      <c r="BR246" s="167"/>
      <c r="BS246" s="167"/>
      <c r="BT246" s="167"/>
      <c r="BU246" s="167"/>
      <c r="BV246" s="167"/>
      <c r="BW246" s="159"/>
      <c r="BX246" s="159"/>
      <c r="BY246" s="159"/>
      <c r="BZ246" s="159"/>
      <c r="CA246" s="159"/>
      <c r="CB246" s="159"/>
      <c r="CC246" s="159"/>
      <c r="CD246" s="159"/>
      <c r="CE246" s="159"/>
      <c r="CF246" s="159"/>
      <c r="CG246" s="159"/>
      <c r="CH246" s="159"/>
      <c r="CI246" s="159"/>
      <c r="CJ246" s="159"/>
      <c r="CK246" s="159"/>
      <c r="CL246" s="159"/>
      <c r="CM246" s="159"/>
      <c r="CN246" s="159"/>
      <c r="CO246" s="159"/>
      <c r="CP246" s="159"/>
      <c r="CQ246" s="159"/>
      <c r="CR246" s="159"/>
      <c r="CS246" s="159"/>
      <c r="CT246" s="159"/>
      <c r="CU246" s="159"/>
      <c r="CV246" s="159"/>
      <c r="CW246" s="159"/>
      <c r="CX246" s="159"/>
      <c r="CY246" s="134"/>
    </row>
    <row r="247" spans="1:103" ht="12.75" customHeight="1" x14ac:dyDescent="0.3">
      <c r="A247" s="155"/>
      <c r="B247" s="134"/>
      <c r="C247" s="134"/>
      <c r="D247" s="134"/>
      <c r="E247" s="157"/>
      <c r="F247" s="157"/>
      <c r="G247" s="157"/>
      <c r="H247" s="157"/>
      <c r="I247" s="158"/>
      <c r="J247" s="159"/>
      <c r="K247" s="159"/>
      <c r="L247" s="159"/>
      <c r="M247" s="160"/>
      <c r="N247" s="160"/>
      <c r="O247" s="160"/>
      <c r="P247" s="158"/>
      <c r="Q247" s="158"/>
      <c r="R247" s="158"/>
      <c r="S247" s="158"/>
      <c r="T247" s="158"/>
      <c r="U247" s="158"/>
      <c r="V247" s="159"/>
      <c r="W247" s="159"/>
      <c r="X247" s="159"/>
      <c r="Y247" s="158"/>
      <c r="Z247" s="159"/>
      <c r="AA247" s="160"/>
      <c r="AB247" s="160"/>
      <c r="AC247" s="160"/>
      <c r="AD247" s="160"/>
      <c r="AE247" s="160"/>
      <c r="AF247" s="159"/>
      <c r="AG247" s="159"/>
      <c r="AH247" s="159"/>
      <c r="AI247" s="159"/>
      <c r="AJ247" s="159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67"/>
      <c r="AU247" s="167"/>
      <c r="AV247" s="167"/>
      <c r="AW247" s="167"/>
      <c r="AX247" s="167"/>
      <c r="AY247" s="167"/>
      <c r="AZ247" s="167"/>
      <c r="BA247" s="167"/>
      <c r="BB247" s="167"/>
      <c r="BC247" s="167"/>
      <c r="BD247" s="167"/>
      <c r="BE247" s="167"/>
      <c r="BF247" s="167"/>
      <c r="BG247" s="167"/>
      <c r="BH247" s="167"/>
      <c r="BI247" s="167"/>
      <c r="BJ247" s="167"/>
      <c r="BK247" s="167"/>
      <c r="BL247" s="167"/>
      <c r="BM247" s="167"/>
      <c r="BN247" s="167"/>
      <c r="BO247" s="167"/>
      <c r="BP247" s="167"/>
      <c r="BQ247" s="167"/>
      <c r="BR247" s="167"/>
      <c r="BS247" s="167"/>
      <c r="BT247" s="167"/>
      <c r="BU247" s="167"/>
      <c r="BV247" s="167"/>
      <c r="BW247" s="159"/>
      <c r="BX247" s="159"/>
      <c r="BY247" s="159"/>
      <c r="BZ247" s="159"/>
      <c r="CA247" s="159"/>
      <c r="CB247" s="159"/>
      <c r="CC247" s="159"/>
      <c r="CD247" s="159"/>
      <c r="CE247" s="159"/>
      <c r="CF247" s="159"/>
      <c r="CG247" s="159"/>
      <c r="CH247" s="159"/>
      <c r="CI247" s="159"/>
      <c r="CJ247" s="159"/>
      <c r="CK247" s="159"/>
      <c r="CL247" s="159"/>
      <c r="CM247" s="159"/>
      <c r="CN247" s="159"/>
      <c r="CO247" s="159"/>
      <c r="CP247" s="159"/>
      <c r="CQ247" s="159"/>
      <c r="CR247" s="159"/>
      <c r="CS247" s="159"/>
      <c r="CT247" s="159"/>
      <c r="CU247" s="159"/>
      <c r="CV247" s="159"/>
      <c r="CW247" s="159"/>
      <c r="CX247" s="159"/>
      <c r="CY247" s="134"/>
    </row>
    <row r="248" spans="1:103" ht="12.75" customHeight="1" x14ac:dyDescent="0.3">
      <c r="A248" s="155"/>
      <c r="B248" s="134"/>
      <c r="C248" s="134"/>
      <c r="D248" s="134"/>
      <c r="E248" s="157"/>
      <c r="F248" s="157"/>
      <c r="G248" s="157"/>
      <c r="H248" s="157"/>
      <c r="I248" s="158"/>
      <c r="J248" s="159"/>
      <c r="K248" s="159"/>
      <c r="L248" s="159"/>
      <c r="M248" s="160"/>
      <c r="N248" s="160"/>
      <c r="O248" s="160"/>
      <c r="P248" s="158"/>
      <c r="Q248" s="158"/>
      <c r="R248" s="158"/>
      <c r="S248" s="158"/>
      <c r="T248" s="158"/>
      <c r="U248" s="158"/>
      <c r="V248" s="159"/>
      <c r="W248" s="159"/>
      <c r="X248" s="159"/>
      <c r="Y248" s="158"/>
      <c r="Z248" s="159"/>
      <c r="AA248" s="160"/>
      <c r="AB248" s="160"/>
      <c r="AC248" s="160"/>
      <c r="AD248" s="160"/>
      <c r="AE248" s="160"/>
      <c r="AF248" s="159"/>
      <c r="AG248" s="159"/>
      <c r="AH248" s="159"/>
      <c r="AI248" s="159"/>
      <c r="AJ248" s="159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67"/>
      <c r="AU248" s="167"/>
      <c r="AV248" s="167"/>
      <c r="AW248" s="167"/>
      <c r="AX248" s="167"/>
      <c r="AY248" s="167"/>
      <c r="AZ248" s="167"/>
      <c r="BA248" s="167"/>
      <c r="BB248" s="167"/>
      <c r="BC248" s="167"/>
      <c r="BD248" s="167"/>
      <c r="BE248" s="167"/>
      <c r="BF248" s="167"/>
      <c r="BG248" s="167"/>
      <c r="BH248" s="167"/>
      <c r="BI248" s="167"/>
      <c r="BJ248" s="167"/>
      <c r="BK248" s="167"/>
      <c r="BL248" s="167"/>
      <c r="BM248" s="167"/>
      <c r="BN248" s="167"/>
      <c r="BO248" s="167"/>
      <c r="BP248" s="167"/>
      <c r="BQ248" s="167"/>
      <c r="BR248" s="167"/>
      <c r="BS248" s="167"/>
      <c r="BT248" s="167"/>
      <c r="BU248" s="167"/>
      <c r="BV248" s="167"/>
      <c r="BW248" s="159"/>
      <c r="BX248" s="159"/>
      <c r="BY248" s="159"/>
      <c r="BZ248" s="159"/>
      <c r="CA248" s="159"/>
      <c r="CB248" s="159"/>
      <c r="CC248" s="159"/>
      <c r="CD248" s="159"/>
      <c r="CE248" s="159"/>
      <c r="CF248" s="159"/>
      <c r="CG248" s="159"/>
      <c r="CH248" s="159"/>
      <c r="CI248" s="159"/>
      <c r="CJ248" s="159"/>
      <c r="CK248" s="159"/>
      <c r="CL248" s="159"/>
      <c r="CM248" s="159"/>
      <c r="CN248" s="159"/>
      <c r="CO248" s="159"/>
      <c r="CP248" s="159"/>
      <c r="CQ248" s="159"/>
      <c r="CR248" s="159"/>
      <c r="CS248" s="159"/>
      <c r="CT248" s="159"/>
      <c r="CU248" s="159"/>
      <c r="CV248" s="159"/>
      <c r="CW248" s="159"/>
      <c r="CX248" s="159"/>
      <c r="CY248" s="134"/>
    </row>
    <row r="249" spans="1:103" ht="12.75" customHeight="1" x14ac:dyDescent="0.3">
      <c r="A249" s="155"/>
      <c r="B249" s="134"/>
      <c r="C249" s="134"/>
      <c r="D249" s="134"/>
      <c r="E249" s="157"/>
      <c r="F249" s="157"/>
      <c r="G249" s="157"/>
      <c r="H249" s="157"/>
      <c r="I249" s="158"/>
      <c r="J249" s="159"/>
      <c r="K249" s="159"/>
      <c r="L249" s="159"/>
      <c r="M249" s="160"/>
      <c r="N249" s="160"/>
      <c r="O249" s="160"/>
      <c r="P249" s="158"/>
      <c r="Q249" s="158"/>
      <c r="R249" s="158"/>
      <c r="S249" s="158"/>
      <c r="T249" s="158"/>
      <c r="U249" s="158"/>
      <c r="V249" s="159"/>
      <c r="W249" s="159"/>
      <c r="X249" s="159"/>
      <c r="Y249" s="158"/>
      <c r="Z249" s="159"/>
      <c r="AA249" s="160"/>
      <c r="AB249" s="160"/>
      <c r="AC249" s="160"/>
      <c r="AD249" s="160"/>
      <c r="AE249" s="160"/>
      <c r="AF249" s="159"/>
      <c r="AG249" s="159"/>
      <c r="AH249" s="159"/>
      <c r="AI249" s="159"/>
      <c r="AJ249" s="159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67"/>
      <c r="AU249" s="167"/>
      <c r="AV249" s="167"/>
      <c r="AW249" s="167"/>
      <c r="AX249" s="167"/>
      <c r="AY249" s="167"/>
      <c r="AZ249" s="167"/>
      <c r="BA249" s="167"/>
      <c r="BB249" s="167"/>
      <c r="BC249" s="167"/>
      <c r="BD249" s="167"/>
      <c r="BE249" s="167"/>
      <c r="BF249" s="167"/>
      <c r="BG249" s="167"/>
      <c r="BH249" s="167"/>
      <c r="BI249" s="167"/>
      <c r="BJ249" s="167"/>
      <c r="BK249" s="167"/>
      <c r="BL249" s="167"/>
      <c r="BM249" s="167"/>
      <c r="BN249" s="167"/>
      <c r="BO249" s="167"/>
      <c r="BP249" s="167"/>
      <c r="BQ249" s="167"/>
      <c r="BR249" s="167"/>
      <c r="BS249" s="167"/>
      <c r="BT249" s="167"/>
      <c r="BU249" s="167"/>
      <c r="BV249" s="167"/>
      <c r="BW249" s="159"/>
      <c r="BX249" s="159"/>
      <c r="BY249" s="159"/>
      <c r="BZ249" s="159"/>
      <c r="CA249" s="159"/>
      <c r="CB249" s="159"/>
      <c r="CC249" s="159"/>
      <c r="CD249" s="159"/>
      <c r="CE249" s="159"/>
      <c r="CF249" s="159"/>
      <c r="CG249" s="159"/>
      <c r="CH249" s="159"/>
      <c r="CI249" s="159"/>
      <c r="CJ249" s="159"/>
      <c r="CK249" s="159"/>
      <c r="CL249" s="159"/>
      <c r="CM249" s="159"/>
      <c r="CN249" s="159"/>
      <c r="CO249" s="159"/>
      <c r="CP249" s="159"/>
      <c r="CQ249" s="159"/>
      <c r="CR249" s="159"/>
      <c r="CS249" s="159"/>
      <c r="CT249" s="159"/>
      <c r="CU249" s="159"/>
      <c r="CV249" s="159"/>
      <c r="CW249" s="159"/>
      <c r="CX249" s="159"/>
      <c r="CY249" s="134"/>
    </row>
    <row r="250" spans="1:103" ht="12.75" customHeight="1" x14ac:dyDescent="0.3">
      <c r="A250" s="155"/>
      <c r="B250" s="134"/>
      <c r="C250" s="134"/>
      <c r="D250" s="134"/>
      <c r="E250" s="157"/>
      <c r="F250" s="157"/>
      <c r="G250" s="157"/>
      <c r="H250" s="157"/>
      <c r="I250" s="158"/>
      <c r="J250" s="159"/>
      <c r="K250" s="159"/>
      <c r="L250" s="159"/>
      <c r="M250" s="160"/>
      <c r="N250" s="160"/>
      <c r="O250" s="160"/>
      <c r="P250" s="158"/>
      <c r="Q250" s="158"/>
      <c r="R250" s="158"/>
      <c r="S250" s="158"/>
      <c r="T250" s="158"/>
      <c r="U250" s="158"/>
      <c r="V250" s="159"/>
      <c r="W250" s="159"/>
      <c r="X250" s="159"/>
      <c r="Y250" s="158"/>
      <c r="Z250" s="159"/>
      <c r="AA250" s="160"/>
      <c r="AB250" s="160"/>
      <c r="AC250" s="160"/>
      <c r="AD250" s="160"/>
      <c r="AE250" s="160"/>
      <c r="AF250" s="159"/>
      <c r="AG250" s="159"/>
      <c r="AH250" s="159"/>
      <c r="AI250" s="159"/>
      <c r="AJ250" s="159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67"/>
      <c r="AU250" s="167"/>
      <c r="AV250" s="167"/>
      <c r="AW250" s="167"/>
      <c r="AX250" s="167"/>
      <c r="AY250" s="167"/>
      <c r="AZ250" s="167"/>
      <c r="BA250" s="167"/>
      <c r="BB250" s="167"/>
      <c r="BC250" s="167"/>
      <c r="BD250" s="167"/>
      <c r="BE250" s="167"/>
      <c r="BF250" s="167"/>
      <c r="BG250" s="167"/>
      <c r="BH250" s="167"/>
      <c r="BI250" s="167"/>
      <c r="BJ250" s="167"/>
      <c r="BK250" s="167"/>
      <c r="BL250" s="167"/>
      <c r="BM250" s="167"/>
      <c r="BN250" s="167"/>
      <c r="BO250" s="167"/>
      <c r="BP250" s="167"/>
      <c r="BQ250" s="167"/>
      <c r="BR250" s="167"/>
      <c r="BS250" s="167"/>
      <c r="BT250" s="167"/>
      <c r="BU250" s="167"/>
      <c r="BV250" s="167"/>
      <c r="BW250" s="159"/>
      <c r="BX250" s="159"/>
      <c r="BY250" s="159"/>
      <c r="BZ250" s="159"/>
      <c r="CA250" s="159"/>
      <c r="CB250" s="159"/>
      <c r="CC250" s="159"/>
      <c r="CD250" s="159"/>
      <c r="CE250" s="159"/>
      <c r="CF250" s="159"/>
      <c r="CG250" s="159"/>
      <c r="CH250" s="159"/>
      <c r="CI250" s="159"/>
      <c r="CJ250" s="159"/>
      <c r="CK250" s="159"/>
      <c r="CL250" s="159"/>
      <c r="CM250" s="159"/>
      <c r="CN250" s="159"/>
      <c r="CO250" s="159"/>
      <c r="CP250" s="159"/>
      <c r="CQ250" s="159"/>
      <c r="CR250" s="159"/>
      <c r="CS250" s="159"/>
      <c r="CT250" s="159"/>
      <c r="CU250" s="159"/>
      <c r="CV250" s="159"/>
      <c r="CW250" s="159"/>
      <c r="CX250" s="159"/>
      <c r="CY250" s="134"/>
    </row>
    <row r="251" spans="1:103" ht="12.75" customHeight="1" x14ac:dyDescent="0.3">
      <c r="A251" s="155"/>
      <c r="B251" s="134"/>
      <c r="C251" s="134"/>
      <c r="D251" s="134"/>
      <c r="E251" s="157"/>
      <c r="F251" s="157"/>
      <c r="G251" s="157"/>
      <c r="H251" s="157"/>
      <c r="I251" s="158"/>
      <c r="J251" s="159"/>
      <c r="K251" s="159"/>
      <c r="L251" s="159"/>
      <c r="M251" s="160"/>
      <c r="N251" s="160"/>
      <c r="O251" s="160"/>
      <c r="P251" s="158"/>
      <c r="Q251" s="158"/>
      <c r="R251" s="158"/>
      <c r="S251" s="158"/>
      <c r="T251" s="158"/>
      <c r="U251" s="158"/>
      <c r="V251" s="159"/>
      <c r="W251" s="159"/>
      <c r="X251" s="159"/>
      <c r="Y251" s="158"/>
      <c r="Z251" s="159"/>
      <c r="AA251" s="160"/>
      <c r="AB251" s="160"/>
      <c r="AC251" s="160"/>
      <c r="AD251" s="160"/>
      <c r="AE251" s="160"/>
      <c r="AF251" s="159"/>
      <c r="AG251" s="159"/>
      <c r="AH251" s="159"/>
      <c r="AI251" s="159"/>
      <c r="AJ251" s="159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167"/>
      <c r="AU251" s="167"/>
      <c r="AV251" s="167"/>
      <c r="AW251" s="167"/>
      <c r="AX251" s="167"/>
      <c r="AY251" s="167"/>
      <c r="AZ251" s="167"/>
      <c r="BA251" s="167"/>
      <c r="BB251" s="167"/>
      <c r="BC251" s="167"/>
      <c r="BD251" s="167"/>
      <c r="BE251" s="167"/>
      <c r="BF251" s="167"/>
      <c r="BG251" s="167"/>
      <c r="BH251" s="167"/>
      <c r="BI251" s="167"/>
      <c r="BJ251" s="167"/>
      <c r="BK251" s="167"/>
      <c r="BL251" s="167"/>
      <c r="BM251" s="167"/>
      <c r="BN251" s="167"/>
      <c r="BO251" s="167"/>
      <c r="BP251" s="167"/>
      <c r="BQ251" s="167"/>
      <c r="BR251" s="167"/>
      <c r="BS251" s="167"/>
      <c r="BT251" s="167"/>
      <c r="BU251" s="167"/>
      <c r="BV251" s="167"/>
      <c r="BW251" s="159"/>
      <c r="BX251" s="159"/>
      <c r="BY251" s="159"/>
      <c r="BZ251" s="159"/>
      <c r="CA251" s="159"/>
      <c r="CB251" s="159"/>
      <c r="CC251" s="159"/>
      <c r="CD251" s="159"/>
      <c r="CE251" s="159"/>
      <c r="CF251" s="159"/>
      <c r="CG251" s="159"/>
      <c r="CH251" s="159"/>
      <c r="CI251" s="159"/>
      <c r="CJ251" s="159"/>
      <c r="CK251" s="159"/>
      <c r="CL251" s="159"/>
      <c r="CM251" s="159"/>
      <c r="CN251" s="159"/>
      <c r="CO251" s="159"/>
      <c r="CP251" s="159"/>
      <c r="CQ251" s="159"/>
      <c r="CR251" s="159"/>
      <c r="CS251" s="159"/>
      <c r="CT251" s="159"/>
      <c r="CU251" s="159"/>
      <c r="CV251" s="159"/>
      <c r="CW251" s="159"/>
      <c r="CX251" s="159"/>
      <c r="CY251" s="134"/>
    </row>
    <row r="252" spans="1:103" ht="12.75" customHeight="1" x14ac:dyDescent="0.3">
      <c r="A252" s="155"/>
      <c r="B252" s="134"/>
      <c r="C252" s="134"/>
      <c r="D252" s="134"/>
      <c r="E252" s="157"/>
      <c r="F252" s="157"/>
      <c r="G252" s="157"/>
      <c r="H252" s="157"/>
      <c r="I252" s="158"/>
      <c r="J252" s="159"/>
      <c r="K252" s="159"/>
      <c r="L252" s="159"/>
      <c r="M252" s="160"/>
      <c r="N252" s="160"/>
      <c r="O252" s="160"/>
      <c r="P252" s="158"/>
      <c r="Q252" s="158"/>
      <c r="R252" s="158"/>
      <c r="S252" s="158"/>
      <c r="T252" s="158"/>
      <c r="U252" s="158"/>
      <c r="V252" s="159"/>
      <c r="W252" s="159"/>
      <c r="X252" s="159"/>
      <c r="Y252" s="158"/>
      <c r="Z252" s="159"/>
      <c r="AA252" s="160"/>
      <c r="AB252" s="160"/>
      <c r="AC252" s="160"/>
      <c r="AD252" s="160"/>
      <c r="AE252" s="160"/>
      <c r="AF252" s="159"/>
      <c r="AG252" s="159"/>
      <c r="AH252" s="159"/>
      <c r="AI252" s="159"/>
      <c r="AJ252" s="159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167"/>
      <c r="AU252" s="167"/>
      <c r="AV252" s="167"/>
      <c r="AW252" s="167"/>
      <c r="AX252" s="167"/>
      <c r="AY252" s="167"/>
      <c r="AZ252" s="167"/>
      <c r="BA252" s="167"/>
      <c r="BB252" s="167"/>
      <c r="BC252" s="167"/>
      <c r="BD252" s="167"/>
      <c r="BE252" s="167"/>
      <c r="BF252" s="167"/>
      <c r="BG252" s="167"/>
      <c r="BH252" s="167"/>
      <c r="BI252" s="167"/>
      <c r="BJ252" s="167"/>
      <c r="BK252" s="167"/>
      <c r="BL252" s="167"/>
      <c r="BM252" s="167"/>
      <c r="BN252" s="167"/>
      <c r="BO252" s="167"/>
      <c r="BP252" s="167"/>
      <c r="BQ252" s="167"/>
      <c r="BR252" s="167"/>
      <c r="BS252" s="167"/>
      <c r="BT252" s="167"/>
      <c r="BU252" s="167"/>
      <c r="BV252" s="167"/>
      <c r="BW252" s="159"/>
      <c r="BX252" s="159"/>
      <c r="BY252" s="159"/>
      <c r="BZ252" s="159"/>
      <c r="CA252" s="159"/>
      <c r="CB252" s="159"/>
      <c r="CC252" s="159"/>
      <c r="CD252" s="159"/>
      <c r="CE252" s="159"/>
      <c r="CF252" s="159"/>
      <c r="CG252" s="159"/>
      <c r="CH252" s="159"/>
      <c r="CI252" s="159"/>
      <c r="CJ252" s="159"/>
      <c r="CK252" s="159"/>
      <c r="CL252" s="159"/>
      <c r="CM252" s="159"/>
      <c r="CN252" s="159"/>
      <c r="CO252" s="159"/>
      <c r="CP252" s="159"/>
      <c r="CQ252" s="159"/>
      <c r="CR252" s="159"/>
      <c r="CS252" s="159"/>
      <c r="CT252" s="159"/>
      <c r="CU252" s="159"/>
      <c r="CV252" s="159"/>
      <c r="CW252" s="159"/>
      <c r="CX252" s="159"/>
      <c r="CY252" s="134"/>
    </row>
    <row r="253" spans="1:103" ht="12.75" customHeight="1" x14ac:dyDescent="0.3">
      <c r="A253" s="155"/>
      <c r="B253" s="134"/>
      <c r="C253" s="134"/>
      <c r="D253" s="134"/>
      <c r="E253" s="157"/>
      <c r="F253" s="157"/>
      <c r="G253" s="157"/>
      <c r="H253" s="157"/>
      <c r="I253" s="158"/>
      <c r="J253" s="159"/>
      <c r="K253" s="159"/>
      <c r="L253" s="159"/>
      <c r="M253" s="160"/>
      <c r="N253" s="160"/>
      <c r="O253" s="160"/>
      <c r="P253" s="158"/>
      <c r="Q253" s="158"/>
      <c r="R253" s="158"/>
      <c r="S253" s="158"/>
      <c r="T253" s="158"/>
      <c r="U253" s="158"/>
      <c r="V253" s="159"/>
      <c r="W253" s="159"/>
      <c r="X253" s="159"/>
      <c r="Y253" s="158"/>
      <c r="Z253" s="159"/>
      <c r="AA253" s="160"/>
      <c r="AB253" s="160"/>
      <c r="AC253" s="160"/>
      <c r="AD253" s="160"/>
      <c r="AE253" s="160"/>
      <c r="AF253" s="159"/>
      <c r="AG253" s="159"/>
      <c r="AH253" s="159"/>
      <c r="AI253" s="159"/>
      <c r="AJ253" s="159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167"/>
      <c r="AU253" s="167"/>
      <c r="AV253" s="167"/>
      <c r="AW253" s="167"/>
      <c r="AX253" s="167"/>
      <c r="AY253" s="167"/>
      <c r="AZ253" s="167"/>
      <c r="BA253" s="167"/>
      <c r="BB253" s="167"/>
      <c r="BC253" s="167"/>
      <c r="BD253" s="167"/>
      <c r="BE253" s="167"/>
      <c r="BF253" s="167"/>
      <c r="BG253" s="167"/>
      <c r="BH253" s="167"/>
      <c r="BI253" s="167"/>
      <c r="BJ253" s="167"/>
      <c r="BK253" s="167"/>
      <c r="BL253" s="167"/>
      <c r="BM253" s="167"/>
      <c r="BN253" s="167"/>
      <c r="BO253" s="167"/>
      <c r="BP253" s="167"/>
      <c r="BQ253" s="167"/>
      <c r="BR253" s="167"/>
      <c r="BS253" s="167"/>
      <c r="BT253" s="167"/>
      <c r="BU253" s="167"/>
      <c r="BV253" s="167"/>
      <c r="BW253" s="159"/>
      <c r="BX253" s="159"/>
      <c r="BY253" s="159"/>
      <c r="BZ253" s="159"/>
      <c r="CA253" s="159"/>
      <c r="CB253" s="159"/>
      <c r="CC253" s="159"/>
      <c r="CD253" s="159"/>
      <c r="CE253" s="159"/>
      <c r="CF253" s="159"/>
      <c r="CG253" s="159"/>
      <c r="CH253" s="159"/>
      <c r="CI253" s="159"/>
      <c r="CJ253" s="159"/>
      <c r="CK253" s="159"/>
      <c r="CL253" s="159"/>
      <c r="CM253" s="159"/>
      <c r="CN253" s="159"/>
      <c r="CO253" s="159"/>
      <c r="CP253" s="159"/>
      <c r="CQ253" s="159"/>
      <c r="CR253" s="159"/>
      <c r="CS253" s="159"/>
      <c r="CT253" s="159"/>
      <c r="CU253" s="159"/>
      <c r="CV253" s="159"/>
      <c r="CW253" s="159"/>
      <c r="CX253" s="159"/>
      <c r="CY253" s="134"/>
    </row>
    <row r="254" spans="1:103" ht="12.75" customHeight="1" x14ac:dyDescent="0.3">
      <c r="A254" s="155"/>
      <c r="B254" s="134"/>
      <c r="C254" s="134"/>
      <c r="D254" s="134"/>
      <c r="E254" s="157"/>
      <c r="F254" s="157"/>
      <c r="G254" s="157"/>
      <c r="H254" s="157"/>
      <c r="I254" s="158"/>
      <c r="J254" s="159"/>
      <c r="K254" s="159"/>
      <c r="L254" s="159"/>
      <c r="M254" s="160"/>
      <c r="N254" s="160"/>
      <c r="O254" s="160"/>
      <c r="P254" s="158"/>
      <c r="Q254" s="158"/>
      <c r="R254" s="158"/>
      <c r="S254" s="158"/>
      <c r="T254" s="158"/>
      <c r="U254" s="158"/>
      <c r="V254" s="159"/>
      <c r="W254" s="159"/>
      <c r="X254" s="159"/>
      <c r="Y254" s="158"/>
      <c r="Z254" s="159"/>
      <c r="AA254" s="160"/>
      <c r="AB254" s="160"/>
      <c r="AC254" s="160"/>
      <c r="AD254" s="160"/>
      <c r="AE254" s="160"/>
      <c r="AF254" s="159"/>
      <c r="AG254" s="159"/>
      <c r="AH254" s="159"/>
      <c r="AI254" s="159"/>
      <c r="AJ254" s="159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167"/>
      <c r="AU254" s="167"/>
      <c r="AV254" s="167"/>
      <c r="AW254" s="167"/>
      <c r="AX254" s="167"/>
      <c r="AY254" s="167"/>
      <c r="AZ254" s="167"/>
      <c r="BA254" s="167"/>
      <c r="BB254" s="167"/>
      <c r="BC254" s="167"/>
      <c r="BD254" s="167"/>
      <c r="BE254" s="167"/>
      <c r="BF254" s="167"/>
      <c r="BG254" s="167"/>
      <c r="BH254" s="167"/>
      <c r="BI254" s="167"/>
      <c r="BJ254" s="167"/>
      <c r="BK254" s="167"/>
      <c r="BL254" s="167"/>
      <c r="BM254" s="167"/>
      <c r="BN254" s="167"/>
      <c r="BO254" s="167"/>
      <c r="BP254" s="167"/>
      <c r="BQ254" s="167"/>
      <c r="BR254" s="167"/>
      <c r="BS254" s="167"/>
      <c r="BT254" s="167"/>
      <c r="BU254" s="167"/>
      <c r="BV254" s="171" t="s">
        <v>442</v>
      </c>
      <c r="BX254" s="162">
        <v>10</v>
      </c>
      <c r="BY254" s="162">
        <v>4</v>
      </c>
      <c r="BZ254" s="161">
        <v>2</v>
      </c>
      <c r="CA254" s="161" t="s">
        <v>443</v>
      </c>
      <c r="CB254" s="162">
        <v>100</v>
      </c>
      <c r="CC254" s="162">
        <v>20</v>
      </c>
      <c r="CD254" s="162" t="s">
        <v>444</v>
      </c>
      <c r="CE254" s="162" t="s">
        <v>104</v>
      </c>
      <c r="CH254" s="159"/>
      <c r="CI254" s="159"/>
      <c r="CJ254" s="159"/>
      <c r="CK254" s="159"/>
      <c r="CL254" s="159"/>
      <c r="CM254" s="159"/>
      <c r="CN254" s="159"/>
      <c r="CO254" s="159"/>
      <c r="CP254" s="159"/>
      <c r="CQ254" s="159"/>
      <c r="CR254" s="159"/>
      <c r="CS254" s="159"/>
      <c r="CT254" s="159"/>
      <c r="CU254" s="159"/>
      <c r="CV254" s="159"/>
      <c r="CW254" s="159"/>
      <c r="CX254" s="159"/>
      <c r="CY254" s="134"/>
    </row>
    <row r="255" spans="1:103" ht="12.75" customHeight="1" x14ac:dyDescent="0.3">
      <c r="A255" s="155"/>
      <c r="B255" s="134"/>
      <c r="C255" s="134"/>
      <c r="D255" s="134"/>
      <c r="E255" s="157"/>
      <c r="F255" s="157"/>
      <c r="G255" s="157"/>
      <c r="H255" s="157"/>
      <c r="I255" s="158"/>
      <c r="J255" s="159"/>
      <c r="K255" s="159"/>
      <c r="L255" s="159"/>
      <c r="M255" s="160"/>
      <c r="N255" s="160"/>
      <c r="O255" s="160"/>
      <c r="P255" s="158"/>
      <c r="Q255" s="158"/>
      <c r="R255" s="158"/>
      <c r="S255" s="158"/>
      <c r="T255" s="158"/>
      <c r="U255" s="158"/>
      <c r="V255" s="159"/>
      <c r="W255" s="159"/>
      <c r="X255" s="159"/>
      <c r="Y255" s="158"/>
      <c r="Z255" s="159"/>
      <c r="AA255" s="160"/>
      <c r="AB255" s="160"/>
      <c r="AC255" s="160"/>
      <c r="AD255" s="160"/>
      <c r="AE255" s="160"/>
      <c r="AF255" s="159"/>
      <c r="AG255" s="159"/>
      <c r="AH255" s="159"/>
      <c r="AI255" s="159"/>
      <c r="AJ255" s="159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167"/>
      <c r="AU255" s="167"/>
      <c r="AV255" s="167"/>
      <c r="AW255" s="167"/>
      <c r="AX255" s="167"/>
      <c r="AY255" s="167"/>
      <c r="AZ255" s="167"/>
      <c r="BA255" s="167"/>
      <c r="BB255" s="167"/>
      <c r="BC255" s="167"/>
      <c r="BD255" s="167"/>
      <c r="BE255" s="167"/>
      <c r="BF255" s="167"/>
      <c r="BG255" s="167"/>
      <c r="BH255" s="167"/>
      <c r="BI255" s="167"/>
      <c r="BJ255" s="167"/>
      <c r="BK255" s="167"/>
      <c r="BL255" s="167"/>
      <c r="BM255" s="167"/>
      <c r="BN255" s="167"/>
      <c r="BO255" s="167"/>
      <c r="BP255" s="167"/>
      <c r="BQ255" s="167"/>
      <c r="BR255" s="167"/>
      <c r="BS255" s="167"/>
      <c r="BT255" s="167"/>
      <c r="BU255" s="167"/>
      <c r="BV255" s="172" t="s">
        <v>445</v>
      </c>
      <c r="BW255" s="162" t="s">
        <v>442</v>
      </c>
      <c r="BX255" s="162">
        <v>6</v>
      </c>
      <c r="BY255" s="162">
        <v>3</v>
      </c>
      <c r="BZ255" s="161">
        <v>4</v>
      </c>
      <c r="CA255" s="161" t="s">
        <v>443</v>
      </c>
      <c r="CB255" s="162">
        <v>60</v>
      </c>
      <c r="CC255" s="162">
        <v>40</v>
      </c>
      <c r="CD255" s="162" t="s">
        <v>446</v>
      </c>
      <c r="CE255" s="162" t="s">
        <v>104</v>
      </c>
      <c r="CH255" s="159"/>
      <c r="CI255" s="159"/>
      <c r="CJ255" s="159"/>
      <c r="CK255" s="159"/>
      <c r="CL255" s="159"/>
      <c r="CM255" s="159"/>
      <c r="CN255" s="159"/>
      <c r="CO255" s="159"/>
      <c r="CP255" s="159"/>
      <c r="CQ255" s="159"/>
      <c r="CR255" s="159"/>
      <c r="CS255" s="159"/>
      <c r="CT255" s="159"/>
      <c r="CU255" s="159"/>
      <c r="CV255" s="159"/>
      <c r="CW255" s="159"/>
      <c r="CX255" s="159"/>
      <c r="CY255" s="134"/>
    </row>
    <row r="256" spans="1:103" ht="12.75" customHeight="1" x14ac:dyDescent="0.3">
      <c r="A256" s="155"/>
      <c r="B256" s="134"/>
      <c r="C256" s="134"/>
      <c r="D256" s="134"/>
      <c r="E256" s="157"/>
      <c r="F256" s="157"/>
      <c r="G256" s="157"/>
      <c r="H256" s="157"/>
      <c r="I256" s="158"/>
      <c r="J256" s="159"/>
      <c r="K256" s="159"/>
      <c r="L256" s="159"/>
      <c r="M256" s="160"/>
      <c r="N256" s="160"/>
      <c r="O256" s="160"/>
      <c r="P256" s="158"/>
      <c r="Q256" s="158"/>
      <c r="R256" s="158"/>
      <c r="S256" s="158"/>
      <c r="T256" s="158"/>
      <c r="U256" s="158"/>
      <c r="V256" s="159"/>
      <c r="W256" s="159"/>
      <c r="X256" s="159"/>
      <c r="Y256" s="158"/>
      <c r="Z256" s="159"/>
      <c r="AA256" s="160"/>
      <c r="AB256" s="160"/>
      <c r="AC256" s="160"/>
      <c r="AD256" s="160"/>
      <c r="AE256" s="160"/>
      <c r="AF256" s="159"/>
      <c r="AG256" s="159"/>
      <c r="AH256" s="159"/>
      <c r="AI256" s="159"/>
      <c r="AJ256" s="159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167"/>
      <c r="AU256" s="167"/>
      <c r="AV256" s="167"/>
      <c r="AW256" s="167"/>
      <c r="AX256" s="167"/>
      <c r="AY256" s="167"/>
      <c r="AZ256" s="167"/>
      <c r="BA256" s="167"/>
      <c r="BB256" s="167"/>
      <c r="BC256" s="167"/>
      <c r="BD256" s="167"/>
      <c r="BE256" s="167"/>
      <c r="BF256" s="167"/>
      <c r="BG256" s="167"/>
      <c r="BH256" s="167"/>
      <c r="BI256" s="167"/>
      <c r="BJ256" s="167"/>
      <c r="BK256" s="167"/>
      <c r="BL256" s="167"/>
      <c r="BM256" s="167"/>
      <c r="BN256" s="167"/>
      <c r="BO256" s="167"/>
      <c r="BP256" s="167"/>
      <c r="BQ256" s="167"/>
      <c r="BR256" s="167"/>
      <c r="BS256" s="167"/>
      <c r="BT256" s="167"/>
      <c r="BU256" s="167"/>
      <c r="BV256" s="172" t="s">
        <v>447</v>
      </c>
      <c r="BW256" s="162" t="s">
        <v>111</v>
      </c>
      <c r="BX256" s="162">
        <v>2</v>
      </c>
      <c r="BY256" s="162">
        <v>2</v>
      </c>
      <c r="BZ256" s="161">
        <v>6</v>
      </c>
      <c r="CA256" s="161" t="s">
        <v>448</v>
      </c>
      <c r="CB256" s="162">
        <v>25</v>
      </c>
      <c r="CC256" s="162">
        <v>50</v>
      </c>
      <c r="CD256" s="162" t="s">
        <v>446</v>
      </c>
      <c r="CE256" s="162" t="s">
        <v>104</v>
      </c>
      <c r="CH256" s="159"/>
      <c r="CI256" s="159"/>
      <c r="CJ256" s="159"/>
      <c r="CK256" s="159"/>
      <c r="CL256" s="159"/>
      <c r="CM256" s="159"/>
      <c r="CN256" s="159"/>
      <c r="CO256" s="159"/>
      <c r="CP256" s="159"/>
      <c r="CQ256" s="159"/>
      <c r="CR256" s="159"/>
      <c r="CS256" s="159"/>
      <c r="CT256" s="159"/>
      <c r="CU256" s="159"/>
      <c r="CV256" s="159"/>
      <c r="CW256" s="159"/>
      <c r="CX256" s="159"/>
      <c r="CY256" s="134"/>
    </row>
    <row r="257" spans="1:103" ht="12.75" customHeight="1" x14ac:dyDescent="0.3">
      <c r="A257" s="155"/>
      <c r="B257" s="134"/>
      <c r="C257" s="134"/>
      <c r="D257" s="134"/>
      <c r="E257" s="157"/>
      <c r="F257" s="157"/>
      <c r="G257" s="157"/>
      <c r="H257" s="157"/>
      <c r="I257" s="158"/>
      <c r="J257" s="159"/>
      <c r="K257" s="159"/>
      <c r="L257" s="159"/>
      <c r="M257" s="160"/>
      <c r="N257" s="160"/>
      <c r="O257" s="160"/>
      <c r="P257" s="158"/>
      <c r="Q257" s="158"/>
      <c r="R257" s="158"/>
      <c r="S257" s="158"/>
      <c r="T257" s="158"/>
      <c r="U257" s="158"/>
      <c r="V257" s="159"/>
      <c r="W257" s="159"/>
      <c r="X257" s="159"/>
      <c r="Y257" s="158"/>
      <c r="Z257" s="159"/>
      <c r="AA257" s="160"/>
      <c r="AB257" s="160"/>
      <c r="AC257" s="160"/>
      <c r="AD257" s="160"/>
      <c r="AE257" s="160"/>
      <c r="AF257" s="159"/>
      <c r="AG257" s="159"/>
      <c r="AH257" s="159"/>
      <c r="AI257" s="159"/>
      <c r="AJ257" s="159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167"/>
      <c r="AU257" s="167"/>
      <c r="AV257" s="167"/>
      <c r="AW257" s="167"/>
      <c r="AX257" s="167"/>
      <c r="AY257" s="167"/>
      <c r="AZ257" s="167"/>
      <c r="BA257" s="167"/>
      <c r="BB257" s="167"/>
      <c r="BC257" s="167"/>
      <c r="BD257" s="167"/>
      <c r="BE257" s="167"/>
      <c r="BF257" s="167"/>
      <c r="BG257" s="167"/>
      <c r="BH257" s="167"/>
      <c r="BI257" s="167"/>
      <c r="BJ257" s="167"/>
      <c r="BK257" s="167"/>
      <c r="BL257" s="167"/>
      <c r="BM257" s="167"/>
      <c r="BN257" s="167"/>
      <c r="BO257" s="167"/>
      <c r="BP257" s="167"/>
      <c r="BQ257" s="167"/>
      <c r="BR257" s="167"/>
      <c r="BS257" s="167"/>
      <c r="BT257" s="167"/>
      <c r="BU257" s="167"/>
      <c r="BV257" s="172" t="s">
        <v>449</v>
      </c>
      <c r="BW257" s="162" t="s">
        <v>116</v>
      </c>
      <c r="BX257" s="162" t="s">
        <v>11</v>
      </c>
      <c r="BY257" s="162">
        <v>1</v>
      </c>
      <c r="BZ257" s="161">
        <v>8</v>
      </c>
      <c r="CA257" s="161" t="s">
        <v>448</v>
      </c>
      <c r="CB257" s="162">
        <v>10</v>
      </c>
      <c r="CC257" s="162">
        <v>60</v>
      </c>
      <c r="CD257" s="162" t="s">
        <v>446</v>
      </c>
      <c r="CE257" s="162" t="s">
        <v>104</v>
      </c>
      <c r="CH257" s="159"/>
      <c r="CI257" s="159"/>
      <c r="CJ257" s="159"/>
      <c r="CK257" s="159"/>
      <c r="CL257" s="159"/>
      <c r="CM257" s="159"/>
      <c r="CN257" s="159"/>
      <c r="CO257" s="159"/>
      <c r="CP257" s="159"/>
      <c r="CQ257" s="159"/>
      <c r="CR257" s="159"/>
      <c r="CS257" s="159"/>
      <c r="CT257" s="159"/>
      <c r="CU257" s="159"/>
      <c r="CV257" s="159"/>
      <c r="CW257" s="159"/>
      <c r="CX257" s="159"/>
      <c r="CY257" s="134"/>
    </row>
    <row r="258" spans="1:103" ht="12.75" customHeight="1" x14ac:dyDescent="0.3">
      <c r="A258" s="155"/>
      <c r="B258" s="134"/>
      <c r="C258" s="134"/>
      <c r="D258" s="134"/>
      <c r="E258" s="157"/>
      <c r="F258" s="157"/>
      <c r="G258" s="157"/>
      <c r="H258" s="157"/>
      <c r="I258" s="158"/>
      <c r="J258" s="159"/>
      <c r="K258" s="159"/>
      <c r="L258" s="159"/>
      <c r="M258" s="160"/>
      <c r="N258" s="160"/>
      <c r="O258" s="160"/>
      <c r="P258" s="158"/>
      <c r="Q258" s="158"/>
      <c r="R258" s="158"/>
      <c r="S258" s="158"/>
      <c r="T258" s="158"/>
      <c r="U258" s="158"/>
      <c r="V258" s="159"/>
      <c r="W258" s="159"/>
      <c r="X258" s="159"/>
      <c r="Y258" s="158"/>
      <c r="Z258" s="159"/>
      <c r="AA258" s="160"/>
      <c r="AB258" s="160"/>
      <c r="AC258" s="160"/>
      <c r="AD258" s="160"/>
      <c r="AE258" s="160"/>
      <c r="AF258" s="159"/>
      <c r="AG258" s="159"/>
      <c r="AH258" s="159"/>
      <c r="AI258" s="159"/>
      <c r="AJ258" s="159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167"/>
      <c r="AU258" s="167"/>
      <c r="AV258" s="167"/>
      <c r="AW258" s="167"/>
      <c r="AX258" s="167"/>
      <c r="AY258" s="167"/>
      <c r="AZ258" s="167"/>
      <c r="BA258" s="167"/>
      <c r="BB258" s="167"/>
      <c r="BC258" s="167"/>
      <c r="BD258" s="167"/>
      <c r="BE258" s="167"/>
      <c r="BF258" s="167"/>
      <c r="BG258" s="167"/>
      <c r="BH258" s="167"/>
      <c r="BI258" s="167"/>
      <c r="BJ258" s="167"/>
      <c r="BK258" s="167"/>
      <c r="BL258" s="167"/>
      <c r="BM258" s="167"/>
      <c r="BN258" s="167"/>
      <c r="BO258" s="167"/>
      <c r="BP258" s="167"/>
      <c r="BQ258" s="167"/>
      <c r="BR258" s="167"/>
      <c r="BS258" s="167"/>
      <c r="BT258" s="167"/>
      <c r="BU258" s="167"/>
      <c r="BV258" s="172" t="s">
        <v>450</v>
      </c>
      <c r="BW258" s="162" t="s">
        <v>121</v>
      </c>
      <c r="BZ258" s="161">
        <v>10</v>
      </c>
      <c r="CA258" s="161" t="s">
        <v>451</v>
      </c>
      <c r="CC258" s="162">
        <v>80</v>
      </c>
      <c r="CD258" s="162" t="s">
        <v>446</v>
      </c>
      <c r="CE258" s="162" t="s">
        <v>104</v>
      </c>
      <c r="CH258" s="159"/>
      <c r="CI258" s="159"/>
      <c r="CJ258" s="159"/>
      <c r="CK258" s="159"/>
      <c r="CL258" s="159"/>
      <c r="CM258" s="159"/>
      <c r="CN258" s="159"/>
      <c r="CO258" s="159"/>
      <c r="CP258" s="159"/>
      <c r="CQ258" s="159"/>
      <c r="CR258" s="159"/>
      <c r="CS258" s="159"/>
      <c r="CT258" s="159"/>
      <c r="CU258" s="159"/>
      <c r="CV258" s="159"/>
      <c r="CW258" s="159"/>
      <c r="CX258" s="159"/>
      <c r="CY258" s="134"/>
    </row>
    <row r="259" spans="1:103" ht="12.75" customHeight="1" x14ac:dyDescent="0.3">
      <c r="A259" s="155"/>
      <c r="B259" s="134"/>
      <c r="C259" s="134"/>
      <c r="D259" s="134"/>
      <c r="E259" s="157"/>
      <c r="F259" s="157"/>
      <c r="G259" s="157"/>
      <c r="H259" s="157"/>
      <c r="I259" s="158"/>
      <c r="J259" s="159"/>
      <c r="K259" s="159"/>
      <c r="L259" s="159"/>
      <c r="M259" s="160"/>
      <c r="N259" s="160"/>
      <c r="O259" s="160"/>
      <c r="P259" s="158"/>
      <c r="Q259" s="158"/>
      <c r="R259" s="158"/>
      <c r="S259" s="158"/>
      <c r="T259" s="158"/>
      <c r="U259" s="158"/>
      <c r="V259" s="159"/>
      <c r="W259" s="159"/>
      <c r="X259" s="159"/>
      <c r="Y259" s="158"/>
      <c r="Z259" s="159"/>
      <c r="AA259" s="160"/>
      <c r="AB259" s="160"/>
      <c r="AC259" s="160"/>
      <c r="AD259" s="160"/>
      <c r="AE259" s="160"/>
      <c r="AF259" s="159"/>
      <c r="AG259" s="159"/>
      <c r="AH259" s="159"/>
      <c r="AI259" s="159"/>
      <c r="AJ259" s="159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167"/>
      <c r="AU259" s="167"/>
      <c r="AV259" s="167"/>
      <c r="AW259" s="167"/>
      <c r="AX259" s="167"/>
      <c r="AY259" s="167"/>
      <c r="AZ259" s="167"/>
      <c r="BA259" s="167"/>
      <c r="BB259" s="167"/>
      <c r="BC259" s="167"/>
      <c r="BD259" s="167"/>
      <c r="BE259" s="167"/>
      <c r="BF259" s="167"/>
      <c r="BG259" s="167"/>
      <c r="BH259" s="167"/>
      <c r="BI259" s="167"/>
      <c r="BJ259" s="167"/>
      <c r="BK259" s="167"/>
      <c r="BL259" s="167"/>
      <c r="BM259" s="167"/>
      <c r="BN259" s="167"/>
      <c r="BO259" s="167"/>
      <c r="BP259" s="167"/>
      <c r="BQ259" s="167"/>
      <c r="BR259" s="167"/>
      <c r="BS259" s="167"/>
      <c r="BT259" s="167"/>
      <c r="BU259" s="167"/>
      <c r="BV259" s="172" t="s">
        <v>452</v>
      </c>
      <c r="BW259" s="162" t="s">
        <v>658</v>
      </c>
      <c r="BZ259" s="161">
        <v>12</v>
      </c>
      <c r="CA259" s="161" t="s">
        <v>451</v>
      </c>
      <c r="CC259" s="162">
        <v>100</v>
      </c>
      <c r="CD259" s="162" t="s">
        <v>446</v>
      </c>
      <c r="CE259" s="162" t="s">
        <v>104</v>
      </c>
      <c r="CH259" s="159"/>
      <c r="CI259" s="159"/>
      <c r="CJ259" s="159"/>
      <c r="CK259" s="159"/>
      <c r="CL259" s="159"/>
      <c r="CM259" s="159"/>
      <c r="CN259" s="159"/>
      <c r="CO259" s="159"/>
      <c r="CP259" s="159"/>
      <c r="CQ259" s="159"/>
      <c r="CR259" s="159"/>
      <c r="CS259" s="159"/>
      <c r="CT259" s="159"/>
      <c r="CU259" s="159"/>
      <c r="CV259" s="159"/>
      <c r="CW259" s="159"/>
      <c r="CX259" s="159"/>
      <c r="CY259" s="134"/>
    </row>
    <row r="260" spans="1:103" ht="12.75" customHeight="1" x14ac:dyDescent="0.3">
      <c r="A260" s="155"/>
      <c r="B260" s="134"/>
      <c r="C260" s="134"/>
      <c r="D260" s="134"/>
      <c r="E260" s="157"/>
      <c r="F260" s="157"/>
      <c r="G260" s="157"/>
      <c r="H260" s="157"/>
      <c r="I260" s="158"/>
      <c r="J260" s="159"/>
      <c r="K260" s="159"/>
      <c r="L260" s="159"/>
      <c r="M260" s="160"/>
      <c r="N260" s="160"/>
      <c r="O260" s="160"/>
      <c r="P260" s="158"/>
      <c r="Q260" s="158"/>
      <c r="R260" s="158"/>
      <c r="S260" s="158"/>
      <c r="T260" s="158"/>
      <c r="U260" s="158"/>
      <c r="V260" s="159"/>
      <c r="W260" s="159"/>
      <c r="X260" s="159"/>
      <c r="Y260" s="158"/>
      <c r="Z260" s="159"/>
      <c r="AA260" s="160"/>
      <c r="AB260" s="160"/>
      <c r="AC260" s="160"/>
      <c r="AD260" s="160"/>
      <c r="AE260" s="160"/>
      <c r="AF260" s="159"/>
      <c r="AG260" s="159"/>
      <c r="AH260" s="159"/>
      <c r="AI260" s="159"/>
      <c r="AJ260" s="159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167"/>
      <c r="AU260" s="167"/>
      <c r="AV260" s="167"/>
      <c r="AW260" s="167"/>
      <c r="AX260" s="167"/>
      <c r="AY260" s="167"/>
      <c r="AZ260" s="167"/>
      <c r="BA260" s="167"/>
      <c r="BB260" s="167"/>
      <c r="BC260" s="167"/>
      <c r="BD260" s="167"/>
      <c r="BE260" s="167"/>
      <c r="BF260" s="167"/>
      <c r="BG260" s="167"/>
      <c r="BH260" s="167"/>
      <c r="BI260" s="167"/>
      <c r="BJ260" s="167"/>
      <c r="BK260" s="167"/>
      <c r="BL260" s="167"/>
      <c r="BM260" s="167"/>
      <c r="BN260" s="167"/>
      <c r="BO260" s="167"/>
      <c r="BP260" s="167"/>
      <c r="BQ260" s="167"/>
      <c r="BR260" s="167"/>
      <c r="BS260" s="167"/>
      <c r="BT260" s="167"/>
      <c r="BU260" s="167"/>
      <c r="BV260" s="172" t="s">
        <v>453</v>
      </c>
      <c r="BZ260" s="161"/>
      <c r="CA260" s="161"/>
      <c r="CH260" s="159"/>
      <c r="CI260" s="159"/>
      <c r="CJ260" s="159"/>
      <c r="CK260" s="159"/>
      <c r="CL260" s="159"/>
      <c r="CM260" s="159"/>
      <c r="CN260" s="159"/>
      <c r="CO260" s="159"/>
      <c r="CP260" s="159"/>
      <c r="CQ260" s="159"/>
      <c r="CR260" s="159"/>
      <c r="CS260" s="159"/>
      <c r="CT260" s="159"/>
      <c r="CU260" s="159"/>
      <c r="CV260" s="159"/>
      <c r="CW260" s="159"/>
      <c r="CX260" s="159"/>
      <c r="CY260" s="134"/>
    </row>
    <row r="261" spans="1:103" ht="12.75" customHeight="1" x14ac:dyDescent="0.3">
      <c r="A261" s="155"/>
      <c r="B261" s="134"/>
      <c r="C261" s="134"/>
      <c r="D261" s="134"/>
      <c r="E261" s="157"/>
      <c r="F261" s="157"/>
      <c r="G261" s="157"/>
      <c r="H261" s="157"/>
      <c r="I261" s="158"/>
      <c r="J261" s="159"/>
      <c r="K261" s="159"/>
      <c r="L261" s="159"/>
      <c r="M261" s="160"/>
      <c r="N261" s="160"/>
      <c r="O261" s="160"/>
      <c r="P261" s="158"/>
      <c r="Q261" s="158"/>
      <c r="R261" s="158"/>
      <c r="S261" s="158"/>
      <c r="T261" s="158"/>
      <c r="U261" s="158"/>
      <c r="V261" s="159"/>
      <c r="W261" s="159"/>
      <c r="X261" s="159"/>
      <c r="Y261" s="158"/>
      <c r="Z261" s="159"/>
      <c r="AA261" s="160"/>
      <c r="AB261" s="160"/>
      <c r="AC261" s="160"/>
      <c r="AD261" s="160"/>
      <c r="AE261" s="160"/>
      <c r="AF261" s="159"/>
      <c r="AG261" s="159"/>
      <c r="AH261" s="159"/>
      <c r="AI261" s="159"/>
      <c r="AJ261" s="159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167"/>
      <c r="AU261" s="167"/>
      <c r="AV261" s="167"/>
      <c r="AW261" s="167"/>
      <c r="AX261" s="167"/>
      <c r="AY261" s="167"/>
      <c r="AZ261" s="167"/>
      <c r="BA261" s="167"/>
      <c r="BB261" s="167"/>
      <c r="BC261" s="167"/>
      <c r="BD261" s="167"/>
      <c r="BE261" s="167"/>
      <c r="BF261" s="167"/>
      <c r="BG261" s="167"/>
      <c r="BH261" s="167"/>
      <c r="BI261" s="167"/>
      <c r="BJ261" s="167"/>
      <c r="BK261" s="167"/>
      <c r="BL261" s="167"/>
      <c r="BM261" s="167"/>
      <c r="BN261" s="167"/>
      <c r="BO261" s="167"/>
      <c r="BP261" s="167"/>
      <c r="BQ261" s="167"/>
      <c r="BR261" s="167"/>
      <c r="BS261" s="167"/>
      <c r="BT261" s="167"/>
      <c r="BU261" s="167"/>
      <c r="BV261" s="172" t="s">
        <v>454</v>
      </c>
      <c r="BW261" s="162" t="s">
        <v>455</v>
      </c>
      <c r="BZ261" s="161">
        <v>18</v>
      </c>
      <c r="CA261" s="161" t="s">
        <v>451</v>
      </c>
      <c r="CC261" s="162">
        <v>120</v>
      </c>
      <c r="CD261" s="162" t="s">
        <v>446</v>
      </c>
      <c r="CE261" s="162" t="s">
        <v>104</v>
      </c>
      <c r="CH261" s="159"/>
      <c r="CI261" s="159"/>
      <c r="CJ261" s="159"/>
      <c r="CK261" s="159"/>
      <c r="CL261" s="159"/>
      <c r="CM261" s="159"/>
      <c r="CN261" s="159"/>
      <c r="CO261" s="159"/>
      <c r="CP261" s="159"/>
      <c r="CQ261" s="159"/>
      <c r="CR261" s="159"/>
      <c r="CS261" s="159"/>
      <c r="CT261" s="159"/>
      <c r="CU261" s="159"/>
      <c r="CV261" s="159"/>
      <c r="CW261" s="159"/>
      <c r="CX261" s="159"/>
      <c r="CY261" s="134"/>
    </row>
    <row r="262" spans="1:103" ht="12.75" customHeight="1" x14ac:dyDescent="0.3">
      <c r="A262" s="155"/>
      <c r="B262" s="134"/>
      <c r="C262" s="134"/>
      <c r="D262" s="134"/>
      <c r="E262" s="157"/>
      <c r="F262" s="157"/>
      <c r="G262" s="157"/>
      <c r="H262" s="157"/>
      <c r="I262" s="158"/>
      <c r="J262" s="159"/>
      <c r="K262" s="159"/>
      <c r="L262" s="159"/>
      <c r="M262" s="160"/>
      <c r="N262" s="160"/>
      <c r="O262" s="160"/>
      <c r="P262" s="158"/>
      <c r="Q262" s="158"/>
      <c r="R262" s="158"/>
      <c r="S262" s="158"/>
      <c r="T262" s="158"/>
      <c r="U262" s="158"/>
      <c r="V262" s="159"/>
      <c r="W262" s="159"/>
      <c r="X262" s="159"/>
      <c r="Y262" s="158"/>
      <c r="Z262" s="159"/>
      <c r="AA262" s="160"/>
      <c r="AB262" s="160"/>
      <c r="AC262" s="160"/>
      <c r="AD262" s="160"/>
      <c r="AE262" s="160"/>
      <c r="AF262" s="159"/>
      <c r="AG262" s="159"/>
      <c r="AH262" s="159"/>
      <c r="AI262" s="159"/>
      <c r="AJ262" s="159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167"/>
      <c r="AU262" s="167"/>
      <c r="AV262" s="167"/>
      <c r="AW262" s="167"/>
      <c r="AX262" s="167"/>
      <c r="AY262" s="167"/>
      <c r="AZ262" s="167"/>
      <c r="BA262" s="167"/>
      <c r="BB262" s="167"/>
      <c r="BC262" s="167"/>
      <c r="BD262" s="167"/>
      <c r="BE262" s="167"/>
      <c r="BF262" s="167"/>
      <c r="BG262" s="167"/>
      <c r="BH262" s="167"/>
      <c r="BI262" s="167"/>
      <c r="BJ262" s="167"/>
      <c r="BK262" s="167"/>
      <c r="BL262" s="167"/>
      <c r="BM262" s="167"/>
      <c r="BN262" s="167"/>
      <c r="BO262" s="167"/>
      <c r="BP262" s="167"/>
      <c r="BQ262" s="167"/>
      <c r="BR262" s="167"/>
      <c r="BS262" s="167"/>
      <c r="BT262" s="167"/>
      <c r="BU262" s="167"/>
      <c r="BW262" s="162" t="s">
        <v>136</v>
      </c>
      <c r="BZ262" s="161">
        <v>20</v>
      </c>
      <c r="CA262" s="161" t="s">
        <v>451</v>
      </c>
      <c r="CC262" s="162">
        <v>150</v>
      </c>
      <c r="CD262" s="162" t="s">
        <v>456</v>
      </c>
      <c r="CE262" s="162" t="s">
        <v>457</v>
      </c>
      <c r="CH262" s="159"/>
      <c r="CI262" s="159"/>
      <c r="CJ262" s="159"/>
      <c r="CK262" s="159"/>
      <c r="CL262" s="159"/>
      <c r="CM262" s="159"/>
      <c r="CN262" s="159"/>
      <c r="CO262" s="159"/>
      <c r="CP262" s="159"/>
      <c r="CQ262" s="159"/>
      <c r="CR262" s="159"/>
      <c r="CS262" s="159"/>
      <c r="CT262" s="159"/>
      <c r="CU262" s="159"/>
      <c r="CV262" s="159"/>
      <c r="CW262" s="159"/>
      <c r="CX262" s="159"/>
      <c r="CY262" s="134"/>
    </row>
    <row r="263" spans="1:103" ht="12.75" customHeight="1" x14ac:dyDescent="0.3">
      <c r="A263" s="155"/>
      <c r="B263" s="134"/>
      <c r="C263" s="134"/>
      <c r="D263" s="134"/>
      <c r="E263" s="157"/>
      <c r="F263" s="157"/>
      <c r="G263" s="157"/>
      <c r="H263" s="157"/>
      <c r="I263" s="158"/>
      <c r="J263" s="159"/>
      <c r="K263" s="159"/>
      <c r="L263" s="159"/>
      <c r="M263" s="160"/>
      <c r="N263" s="160"/>
      <c r="O263" s="160"/>
      <c r="P263" s="158"/>
      <c r="Q263" s="158"/>
      <c r="R263" s="158"/>
      <c r="S263" s="158"/>
      <c r="T263" s="158"/>
      <c r="U263" s="158"/>
      <c r="V263" s="159"/>
      <c r="W263" s="159"/>
      <c r="X263" s="159"/>
      <c r="Y263" s="158"/>
      <c r="Z263" s="159"/>
      <c r="AA263" s="160"/>
      <c r="AB263" s="160"/>
      <c r="AC263" s="160"/>
      <c r="AD263" s="160"/>
      <c r="AE263" s="160"/>
      <c r="AF263" s="159"/>
      <c r="AG263" s="159"/>
      <c r="AH263" s="159"/>
      <c r="AI263" s="159"/>
      <c r="AJ263" s="159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67"/>
      <c r="AU263" s="167"/>
      <c r="AV263" s="167"/>
      <c r="AW263" s="167"/>
      <c r="AX263" s="167"/>
      <c r="AY263" s="167"/>
      <c r="AZ263" s="167"/>
      <c r="BA263" s="167"/>
      <c r="BB263" s="167"/>
      <c r="BC263" s="167"/>
      <c r="BD263" s="167"/>
      <c r="BE263" s="167"/>
      <c r="BF263" s="167"/>
      <c r="BG263" s="167"/>
      <c r="BH263" s="167"/>
      <c r="BI263" s="167"/>
      <c r="BJ263" s="167"/>
      <c r="BK263" s="167"/>
      <c r="BL263" s="167"/>
      <c r="BM263" s="167"/>
      <c r="BN263" s="167"/>
      <c r="BO263" s="167"/>
      <c r="BP263" s="167"/>
      <c r="BQ263" s="167"/>
      <c r="BR263" s="167"/>
      <c r="BS263" s="167"/>
      <c r="BT263" s="167"/>
      <c r="BU263" s="167"/>
      <c r="BW263" s="162" t="s">
        <v>141</v>
      </c>
      <c r="BZ263" s="161">
        <v>24</v>
      </c>
      <c r="CA263" s="161" t="s">
        <v>458</v>
      </c>
      <c r="CC263" s="162">
        <v>200</v>
      </c>
      <c r="CD263" s="162" t="s">
        <v>456</v>
      </c>
      <c r="CE263" s="162" t="s">
        <v>457</v>
      </c>
      <c r="CH263" s="159"/>
      <c r="CI263" s="159"/>
      <c r="CJ263" s="159"/>
      <c r="CK263" s="159"/>
      <c r="CL263" s="159"/>
      <c r="CM263" s="159"/>
      <c r="CN263" s="159"/>
      <c r="CO263" s="159"/>
      <c r="CP263" s="159"/>
      <c r="CQ263" s="159"/>
      <c r="CR263" s="159"/>
      <c r="CS263" s="159"/>
      <c r="CT263" s="159"/>
      <c r="CU263" s="159"/>
      <c r="CV263" s="159"/>
      <c r="CW263" s="159"/>
      <c r="CX263" s="159"/>
      <c r="CY263" s="134"/>
    </row>
    <row r="264" spans="1:103" ht="12.75" customHeight="1" x14ac:dyDescent="0.3">
      <c r="A264" s="155"/>
      <c r="B264" s="134"/>
      <c r="C264" s="134"/>
      <c r="D264" s="134"/>
      <c r="E264" s="157"/>
      <c r="F264" s="157"/>
      <c r="G264" s="157"/>
      <c r="H264" s="157"/>
      <c r="I264" s="158"/>
      <c r="J264" s="159"/>
      <c r="K264" s="159"/>
      <c r="L264" s="159"/>
      <c r="M264" s="160"/>
      <c r="N264" s="160"/>
      <c r="O264" s="160"/>
      <c r="P264" s="158"/>
      <c r="Q264" s="158"/>
      <c r="R264" s="158"/>
      <c r="S264" s="158"/>
      <c r="T264" s="158"/>
      <c r="U264" s="158"/>
      <c r="V264" s="159"/>
      <c r="W264" s="159"/>
      <c r="X264" s="159"/>
      <c r="Y264" s="158"/>
      <c r="Z264" s="159"/>
      <c r="AA264" s="160"/>
      <c r="AB264" s="160"/>
      <c r="AC264" s="160"/>
      <c r="AD264" s="160"/>
      <c r="AE264" s="160"/>
      <c r="AF264" s="159"/>
      <c r="AG264" s="159"/>
      <c r="AH264" s="159"/>
      <c r="AI264" s="159"/>
      <c r="AJ264" s="159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67"/>
      <c r="AU264" s="167"/>
      <c r="AV264" s="167"/>
      <c r="AW264" s="167"/>
      <c r="AX264" s="167"/>
      <c r="AY264" s="167"/>
      <c r="AZ264" s="167"/>
      <c r="BA264" s="167"/>
      <c r="BB264" s="167"/>
      <c r="BC264" s="167"/>
      <c r="BD264" s="167"/>
      <c r="BE264" s="167"/>
      <c r="BF264" s="167"/>
      <c r="BG264" s="167"/>
      <c r="BH264" s="167"/>
      <c r="BI264" s="167"/>
      <c r="BJ264" s="167"/>
      <c r="BK264" s="167"/>
      <c r="BL264" s="167"/>
      <c r="BM264" s="167"/>
      <c r="BN264" s="167"/>
      <c r="BO264" s="167"/>
      <c r="BP264" s="167"/>
      <c r="BQ264" s="167"/>
      <c r="BR264" s="167"/>
      <c r="BS264" s="167"/>
      <c r="BT264" s="167"/>
      <c r="BU264" s="167"/>
      <c r="BW264" s="162" t="s">
        <v>145</v>
      </c>
      <c r="BZ264" s="161">
        <v>30</v>
      </c>
      <c r="CA264" s="161" t="s">
        <v>458</v>
      </c>
      <c r="CC264" s="162">
        <v>240</v>
      </c>
      <c r="CD264" s="162" t="s">
        <v>456</v>
      </c>
      <c r="CE264" s="162" t="s">
        <v>457</v>
      </c>
      <c r="CH264" s="159"/>
      <c r="CI264" s="159"/>
      <c r="CJ264" s="159"/>
      <c r="CK264" s="159"/>
      <c r="CL264" s="159"/>
      <c r="CM264" s="159"/>
      <c r="CN264" s="159"/>
      <c r="CO264" s="159"/>
      <c r="CP264" s="159"/>
      <c r="CQ264" s="159"/>
      <c r="CR264" s="159"/>
      <c r="CS264" s="159"/>
      <c r="CT264" s="159"/>
      <c r="CU264" s="159"/>
      <c r="CV264" s="159"/>
      <c r="CW264" s="159"/>
      <c r="CX264" s="159"/>
      <c r="CY264" s="134"/>
    </row>
    <row r="265" spans="1:103" ht="12.75" customHeight="1" x14ac:dyDescent="0.3">
      <c r="A265" s="155"/>
      <c r="B265" s="134"/>
      <c r="C265" s="134"/>
      <c r="D265" s="134"/>
      <c r="E265" s="157"/>
      <c r="F265" s="157"/>
      <c r="G265" s="157"/>
      <c r="H265" s="157"/>
      <c r="I265" s="158"/>
      <c r="J265" s="159"/>
      <c r="K265" s="159"/>
      <c r="L265" s="159"/>
      <c r="M265" s="160"/>
      <c r="N265" s="160"/>
      <c r="O265" s="160"/>
      <c r="P265" s="158"/>
      <c r="Q265" s="158"/>
      <c r="R265" s="158"/>
      <c r="S265" s="158"/>
      <c r="T265" s="158"/>
      <c r="U265" s="158"/>
      <c r="V265" s="159"/>
      <c r="W265" s="159"/>
      <c r="X265" s="159"/>
      <c r="Y265" s="158"/>
      <c r="Z265" s="159"/>
      <c r="AA265" s="160"/>
      <c r="AB265" s="160"/>
      <c r="AC265" s="160"/>
      <c r="AD265" s="160"/>
      <c r="AE265" s="160"/>
      <c r="AF265" s="159"/>
      <c r="AG265" s="159"/>
      <c r="AH265" s="159"/>
      <c r="AI265" s="159"/>
      <c r="AJ265" s="159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67"/>
      <c r="AU265" s="167"/>
      <c r="AV265" s="167"/>
      <c r="AW265" s="167"/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7"/>
      <c r="BI265" s="167"/>
      <c r="BJ265" s="167"/>
      <c r="BK265" s="167"/>
      <c r="BL265" s="167"/>
      <c r="BM265" s="167"/>
      <c r="BN265" s="167"/>
      <c r="BO265" s="167"/>
      <c r="BP265" s="167"/>
      <c r="BQ265" s="167"/>
      <c r="BR265" s="167"/>
      <c r="BS265" s="167"/>
      <c r="BT265" s="167"/>
      <c r="BU265" s="167"/>
      <c r="BW265" s="162" t="s">
        <v>445</v>
      </c>
      <c r="BZ265" s="161">
        <v>40</v>
      </c>
      <c r="CA265" s="161" t="s">
        <v>458</v>
      </c>
      <c r="CC265" s="162">
        <v>250</v>
      </c>
      <c r="CD265" s="162" t="s">
        <v>456</v>
      </c>
      <c r="CE265" s="162" t="s">
        <v>457</v>
      </c>
      <c r="CH265" s="159"/>
      <c r="CI265" s="159"/>
      <c r="CJ265" s="159"/>
      <c r="CK265" s="159"/>
      <c r="CL265" s="159"/>
      <c r="CM265" s="159"/>
      <c r="CN265" s="159"/>
      <c r="CO265" s="159"/>
      <c r="CP265" s="159"/>
      <c r="CQ265" s="159"/>
      <c r="CR265" s="159"/>
      <c r="CS265" s="159"/>
      <c r="CT265" s="159"/>
      <c r="CU265" s="159"/>
      <c r="CV265" s="159"/>
      <c r="CW265" s="159"/>
      <c r="CX265" s="159"/>
      <c r="CY265" s="134"/>
    </row>
    <row r="266" spans="1:103" ht="12.75" customHeight="1" x14ac:dyDescent="0.3">
      <c r="A266" s="155"/>
      <c r="B266" s="134"/>
      <c r="C266" s="134"/>
      <c r="D266" s="134"/>
      <c r="E266" s="157"/>
      <c r="F266" s="157"/>
      <c r="G266" s="157"/>
      <c r="H266" s="157"/>
      <c r="I266" s="158"/>
      <c r="J266" s="159"/>
      <c r="K266" s="159"/>
      <c r="L266" s="159"/>
      <c r="M266" s="160"/>
      <c r="N266" s="160"/>
      <c r="O266" s="160"/>
      <c r="P266" s="158"/>
      <c r="Q266" s="158"/>
      <c r="R266" s="158"/>
      <c r="S266" s="158"/>
      <c r="T266" s="158"/>
      <c r="U266" s="158"/>
      <c r="V266" s="159"/>
      <c r="W266" s="159"/>
      <c r="X266" s="159"/>
      <c r="Y266" s="158"/>
      <c r="Z266" s="159"/>
      <c r="AA266" s="160"/>
      <c r="AB266" s="160"/>
      <c r="AC266" s="160"/>
      <c r="AD266" s="160"/>
      <c r="AE266" s="160"/>
      <c r="AF266" s="159"/>
      <c r="AG266" s="159"/>
      <c r="AH266" s="159"/>
      <c r="AI266" s="159"/>
      <c r="AJ266" s="159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67"/>
      <c r="AU266" s="167"/>
      <c r="AV266" s="167"/>
      <c r="AW266" s="167"/>
      <c r="AX266" s="167"/>
      <c r="AY266" s="167"/>
      <c r="AZ266" s="167"/>
      <c r="BA266" s="167"/>
      <c r="BB266" s="167"/>
      <c r="BC266" s="167"/>
      <c r="BD266" s="167"/>
      <c r="BE266" s="167"/>
      <c r="BF266" s="167"/>
      <c r="BG266" s="167"/>
      <c r="BH266" s="167"/>
      <c r="BI266" s="167"/>
      <c r="BJ266" s="167"/>
      <c r="BK266" s="167"/>
      <c r="BL266" s="167"/>
      <c r="BM266" s="167"/>
      <c r="BN266" s="167"/>
      <c r="BO266" s="167"/>
      <c r="BP266" s="167"/>
      <c r="BQ266" s="167"/>
      <c r="BR266" s="167"/>
      <c r="BS266" s="167"/>
      <c r="BT266" s="167"/>
      <c r="BU266" s="167"/>
      <c r="BW266" s="162" t="s">
        <v>459</v>
      </c>
      <c r="CC266" s="162">
        <v>360</v>
      </c>
      <c r="CD266" s="162" t="s">
        <v>456</v>
      </c>
      <c r="CE266" s="162" t="s">
        <v>457</v>
      </c>
      <c r="CH266" s="159"/>
      <c r="CI266" s="159"/>
      <c r="CJ266" s="159"/>
      <c r="CK266" s="159"/>
      <c r="CL266" s="159"/>
      <c r="CM266" s="159"/>
      <c r="CN266" s="159"/>
      <c r="CO266" s="159"/>
      <c r="CP266" s="159"/>
      <c r="CQ266" s="159"/>
      <c r="CR266" s="159"/>
      <c r="CS266" s="159"/>
      <c r="CT266" s="159"/>
      <c r="CU266" s="159"/>
      <c r="CV266" s="159"/>
      <c r="CW266" s="159"/>
      <c r="CX266" s="159"/>
      <c r="CY266" s="134"/>
    </row>
    <row r="267" spans="1:103" ht="12.75" customHeight="1" x14ac:dyDescent="0.3">
      <c r="A267" s="155"/>
      <c r="B267" s="134"/>
      <c r="C267" s="134"/>
      <c r="D267" s="134"/>
      <c r="E267" s="157"/>
      <c r="F267" s="157"/>
      <c r="G267" s="157"/>
      <c r="H267" s="157"/>
      <c r="I267" s="158"/>
      <c r="J267" s="159"/>
      <c r="K267" s="159"/>
      <c r="L267" s="159"/>
      <c r="M267" s="160"/>
      <c r="N267" s="160"/>
      <c r="O267" s="160"/>
      <c r="P267" s="158"/>
      <c r="Q267" s="158"/>
      <c r="R267" s="158"/>
      <c r="S267" s="158"/>
      <c r="T267" s="158"/>
      <c r="U267" s="158"/>
      <c r="V267" s="159"/>
      <c r="W267" s="159"/>
      <c r="X267" s="159"/>
      <c r="Y267" s="158"/>
      <c r="Z267" s="159"/>
      <c r="AA267" s="160"/>
      <c r="AB267" s="160"/>
      <c r="AC267" s="160"/>
      <c r="AD267" s="160"/>
      <c r="AE267" s="160"/>
      <c r="AF267" s="159"/>
      <c r="AG267" s="159"/>
      <c r="AH267" s="159"/>
      <c r="AI267" s="159"/>
      <c r="AJ267" s="159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67"/>
      <c r="AU267" s="167"/>
      <c r="AV267" s="167"/>
      <c r="AW267" s="167"/>
      <c r="AX267" s="167"/>
      <c r="AY267" s="167"/>
      <c r="AZ267" s="167"/>
      <c r="BA267" s="167"/>
      <c r="BB267" s="167"/>
      <c r="BC267" s="167"/>
      <c r="BD267" s="167"/>
      <c r="BE267" s="167"/>
      <c r="BF267" s="167"/>
      <c r="BG267" s="167"/>
      <c r="BH267" s="167"/>
      <c r="BI267" s="167"/>
      <c r="BJ267" s="167"/>
      <c r="BK267" s="167"/>
      <c r="BL267" s="167"/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73"/>
      <c r="BW267" s="163" t="s">
        <v>460</v>
      </c>
      <c r="CC267" s="162">
        <v>400</v>
      </c>
      <c r="CD267" s="162" t="s">
        <v>456</v>
      </c>
      <c r="CE267" s="162" t="s">
        <v>457</v>
      </c>
      <c r="CH267" s="159"/>
      <c r="CI267" s="159"/>
      <c r="CJ267" s="159"/>
      <c r="CK267" s="159"/>
      <c r="CL267" s="159"/>
      <c r="CM267" s="159"/>
      <c r="CN267" s="159"/>
      <c r="CO267" s="159"/>
      <c r="CP267" s="159"/>
      <c r="CQ267" s="159"/>
      <c r="CR267" s="159"/>
      <c r="CS267" s="159"/>
      <c r="CT267" s="159"/>
      <c r="CU267" s="159"/>
      <c r="CV267" s="159"/>
      <c r="CW267" s="159"/>
      <c r="CX267" s="159"/>
      <c r="CY267" s="134"/>
    </row>
    <row r="268" spans="1:103" ht="12.75" customHeight="1" x14ac:dyDescent="0.3">
      <c r="A268" s="155"/>
      <c r="B268" s="134"/>
      <c r="C268" s="134"/>
      <c r="D268" s="134"/>
      <c r="E268" s="157"/>
      <c r="F268" s="157"/>
      <c r="G268" s="157"/>
      <c r="H268" s="157"/>
      <c r="I268" s="158"/>
      <c r="J268" s="159"/>
      <c r="K268" s="159"/>
      <c r="L268" s="159"/>
      <c r="M268" s="160"/>
      <c r="N268" s="160"/>
      <c r="O268" s="160"/>
      <c r="P268" s="158"/>
      <c r="Q268" s="158"/>
      <c r="R268" s="158"/>
      <c r="S268" s="158"/>
      <c r="T268" s="158"/>
      <c r="U268" s="158"/>
      <c r="V268" s="159"/>
      <c r="W268" s="159"/>
      <c r="X268" s="159"/>
      <c r="Y268" s="158"/>
      <c r="Z268" s="159"/>
      <c r="AA268" s="160"/>
      <c r="AB268" s="160"/>
      <c r="AC268" s="160"/>
      <c r="AD268" s="160"/>
      <c r="AE268" s="160"/>
      <c r="AF268" s="159"/>
      <c r="AG268" s="159"/>
      <c r="AH268" s="159"/>
      <c r="AI268" s="159"/>
      <c r="AJ268" s="159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67"/>
      <c r="AU268" s="167"/>
      <c r="AV268" s="167"/>
      <c r="AW268" s="167"/>
      <c r="AX268" s="167"/>
      <c r="AY268" s="167"/>
      <c r="AZ268" s="167"/>
      <c r="BA268" s="167"/>
      <c r="BB268" s="167"/>
      <c r="BC268" s="167"/>
      <c r="BD268" s="167"/>
      <c r="BE268" s="167"/>
      <c r="BF268" s="167"/>
      <c r="BG268" s="167"/>
      <c r="BH268" s="167"/>
      <c r="BI268" s="167"/>
      <c r="BJ268" s="167"/>
      <c r="BK268" s="167"/>
      <c r="BL268" s="167"/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73"/>
      <c r="BW268" s="163" t="s">
        <v>461</v>
      </c>
      <c r="CC268" s="162">
        <v>480</v>
      </c>
      <c r="CD268" s="162" t="s">
        <v>456</v>
      </c>
      <c r="CE268" s="162" t="s">
        <v>457</v>
      </c>
      <c r="CH268" s="159"/>
      <c r="CI268" s="159"/>
      <c r="CJ268" s="159"/>
      <c r="CK268" s="159"/>
      <c r="CL268" s="159"/>
      <c r="CM268" s="159"/>
      <c r="CN268" s="159"/>
      <c r="CO268" s="159"/>
      <c r="CP268" s="159"/>
      <c r="CQ268" s="159"/>
      <c r="CR268" s="159"/>
      <c r="CS268" s="159"/>
      <c r="CT268" s="159"/>
      <c r="CU268" s="159"/>
      <c r="CV268" s="159"/>
      <c r="CW268" s="159"/>
      <c r="CX268" s="159"/>
      <c r="CY268" s="134"/>
    </row>
    <row r="269" spans="1:103" ht="12.75" customHeight="1" x14ac:dyDescent="0.3">
      <c r="A269" s="155"/>
      <c r="B269" s="134"/>
      <c r="C269" s="134"/>
      <c r="D269" s="134"/>
      <c r="E269" s="157"/>
      <c r="F269" s="157"/>
      <c r="G269" s="157"/>
      <c r="H269" s="157"/>
      <c r="I269" s="158"/>
      <c r="J269" s="159"/>
      <c r="K269" s="159"/>
      <c r="L269" s="159"/>
      <c r="M269" s="160"/>
      <c r="N269" s="160"/>
      <c r="O269" s="160"/>
      <c r="P269" s="158"/>
      <c r="Q269" s="158"/>
      <c r="R269" s="158"/>
      <c r="S269" s="158"/>
      <c r="T269" s="158"/>
      <c r="U269" s="158"/>
      <c r="V269" s="159"/>
      <c r="W269" s="159"/>
      <c r="X269" s="159"/>
      <c r="Y269" s="158"/>
      <c r="Z269" s="159"/>
      <c r="AA269" s="160"/>
      <c r="AB269" s="160"/>
      <c r="AC269" s="160"/>
      <c r="AD269" s="160"/>
      <c r="AE269" s="160"/>
      <c r="AF269" s="159"/>
      <c r="AG269" s="159"/>
      <c r="AH269" s="159"/>
      <c r="AI269" s="159"/>
      <c r="AJ269" s="159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67"/>
      <c r="AU269" s="167"/>
      <c r="AV269" s="167"/>
      <c r="AW269" s="167"/>
      <c r="AX269" s="167"/>
      <c r="AY269" s="167"/>
      <c r="AZ269" s="167"/>
      <c r="BA269" s="167"/>
      <c r="BB269" s="167"/>
      <c r="BC269" s="167"/>
      <c r="BD269" s="167"/>
      <c r="BE269" s="167"/>
      <c r="BF269" s="167"/>
      <c r="BG269" s="167"/>
      <c r="BH269" s="167"/>
      <c r="BI269" s="167"/>
      <c r="BJ269" s="167"/>
      <c r="BK269" s="167"/>
      <c r="BL269" s="167"/>
      <c r="BM269" s="167"/>
      <c r="BN269" s="167"/>
      <c r="BO269" s="167"/>
      <c r="BP269" s="167"/>
      <c r="BQ269" s="167"/>
      <c r="BR269" s="167"/>
      <c r="BS269" s="167"/>
      <c r="BT269" s="167"/>
      <c r="BU269" s="167"/>
      <c r="BV269" s="173"/>
      <c r="BW269" s="163" t="s">
        <v>462</v>
      </c>
      <c r="CC269" s="162">
        <v>500</v>
      </c>
      <c r="CD269" s="162" t="s">
        <v>456</v>
      </c>
      <c r="CE269" s="162" t="s">
        <v>457</v>
      </c>
      <c r="CH269" s="159"/>
      <c r="CI269" s="159"/>
      <c r="CJ269" s="159"/>
      <c r="CK269" s="159"/>
      <c r="CL269" s="159"/>
      <c r="CM269" s="159"/>
      <c r="CN269" s="159"/>
      <c r="CO269" s="159"/>
      <c r="CP269" s="159"/>
      <c r="CQ269" s="159"/>
      <c r="CR269" s="159"/>
      <c r="CS269" s="159"/>
      <c r="CT269" s="159"/>
      <c r="CU269" s="159"/>
      <c r="CV269" s="159"/>
      <c r="CW269" s="159"/>
      <c r="CX269" s="159"/>
      <c r="CY269" s="134"/>
    </row>
    <row r="270" spans="1:103" ht="12.75" customHeight="1" x14ac:dyDescent="0.3">
      <c r="A270" s="155"/>
      <c r="B270" s="134"/>
      <c r="C270" s="134"/>
      <c r="D270" s="134"/>
      <c r="E270" s="157"/>
      <c r="F270" s="157"/>
      <c r="G270" s="157"/>
      <c r="H270" s="157"/>
      <c r="I270" s="158"/>
      <c r="J270" s="159"/>
      <c r="K270" s="159"/>
      <c r="L270" s="159"/>
      <c r="M270" s="160"/>
      <c r="N270" s="160"/>
      <c r="O270" s="160"/>
      <c r="P270" s="158"/>
      <c r="Q270" s="158"/>
      <c r="R270" s="158"/>
      <c r="S270" s="158"/>
      <c r="T270" s="158"/>
      <c r="U270" s="158"/>
      <c r="V270" s="159"/>
      <c r="W270" s="159"/>
      <c r="X270" s="159"/>
      <c r="Y270" s="158"/>
      <c r="Z270" s="159"/>
      <c r="AA270" s="160"/>
      <c r="AB270" s="160"/>
      <c r="AC270" s="160"/>
      <c r="AD270" s="160"/>
      <c r="AE270" s="160"/>
      <c r="AF270" s="159"/>
      <c r="AG270" s="159"/>
      <c r="AH270" s="159"/>
      <c r="AI270" s="159"/>
      <c r="AJ270" s="159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67"/>
      <c r="AU270" s="167"/>
      <c r="AV270" s="167"/>
      <c r="AW270" s="167"/>
      <c r="AX270" s="167"/>
      <c r="AY270" s="167"/>
      <c r="AZ270" s="167"/>
      <c r="BA270" s="167"/>
      <c r="BB270" s="167"/>
      <c r="BC270" s="167"/>
      <c r="BD270" s="167"/>
      <c r="BE270" s="167"/>
      <c r="BF270" s="167"/>
      <c r="BG270" s="167"/>
      <c r="BH270" s="167"/>
      <c r="BI270" s="167"/>
      <c r="BJ270" s="167"/>
      <c r="BK270" s="167"/>
      <c r="BL270" s="167"/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73"/>
      <c r="BW270" s="163" t="s">
        <v>463</v>
      </c>
      <c r="CC270" s="162">
        <v>600</v>
      </c>
      <c r="CD270" s="162" t="s">
        <v>464</v>
      </c>
      <c r="CE270" s="162" t="s">
        <v>457</v>
      </c>
      <c r="CH270" s="159"/>
      <c r="CI270" s="159"/>
      <c r="CJ270" s="159"/>
      <c r="CK270" s="159"/>
      <c r="CL270" s="159"/>
      <c r="CM270" s="159"/>
      <c r="CN270" s="159"/>
      <c r="CO270" s="159"/>
      <c r="CP270" s="159"/>
      <c r="CQ270" s="159"/>
      <c r="CR270" s="159"/>
      <c r="CS270" s="159"/>
      <c r="CT270" s="159"/>
      <c r="CU270" s="159"/>
      <c r="CV270" s="159"/>
      <c r="CW270" s="159"/>
      <c r="CX270" s="159"/>
      <c r="CY270" s="134"/>
    </row>
    <row r="271" spans="1:103" ht="12.75" customHeight="1" x14ac:dyDescent="0.3">
      <c r="A271" s="155"/>
      <c r="B271" s="134"/>
      <c r="C271" s="134"/>
      <c r="D271" s="134"/>
      <c r="E271" s="157"/>
      <c r="F271" s="157"/>
      <c r="G271" s="157"/>
      <c r="H271" s="157"/>
      <c r="I271" s="158"/>
      <c r="J271" s="159"/>
      <c r="K271" s="159"/>
      <c r="L271" s="159"/>
      <c r="M271" s="160"/>
      <c r="N271" s="160"/>
      <c r="O271" s="160"/>
      <c r="P271" s="158"/>
      <c r="Q271" s="158"/>
      <c r="R271" s="158"/>
      <c r="S271" s="158"/>
      <c r="T271" s="158"/>
      <c r="U271" s="158"/>
      <c r="V271" s="159"/>
      <c r="W271" s="159"/>
      <c r="X271" s="159"/>
      <c r="Y271" s="158"/>
      <c r="Z271" s="159"/>
      <c r="AA271" s="160"/>
      <c r="AB271" s="160"/>
      <c r="AC271" s="160"/>
      <c r="AD271" s="160"/>
      <c r="AE271" s="160"/>
      <c r="AF271" s="159"/>
      <c r="AG271" s="159"/>
      <c r="AH271" s="159"/>
      <c r="AI271" s="159"/>
      <c r="AJ271" s="159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s="167"/>
      <c r="AV271" s="167"/>
      <c r="AW271" s="167"/>
      <c r="AX271" s="167"/>
      <c r="AY271" s="167"/>
      <c r="AZ271" s="167"/>
      <c r="BA271" s="167"/>
      <c r="BB271" s="167"/>
      <c r="BC271" s="167"/>
      <c r="BD271" s="167"/>
      <c r="BE271" s="167"/>
      <c r="BF271" s="167"/>
      <c r="BG271" s="167"/>
      <c r="BH271" s="167"/>
      <c r="BI271" s="167"/>
      <c r="BJ271" s="167"/>
      <c r="BK271" s="167"/>
      <c r="BL271" s="167"/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73"/>
      <c r="BW271" s="163" t="s">
        <v>465</v>
      </c>
      <c r="CC271" s="162">
        <v>800</v>
      </c>
      <c r="CD271" s="162" t="s">
        <v>464</v>
      </c>
      <c r="CE271" s="162" t="s">
        <v>457</v>
      </c>
      <c r="CH271" s="159"/>
      <c r="CI271" s="159"/>
      <c r="CJ271" s="159"/>
      <c r="CK271" s="159"/>
      <c r="CL271" s="159"/>
      <c r="CM271" s="159"/>
      <c r="CN271" s="159"/>
      <c r="CO271" s="159"/>
      <c r="CP271" s="159"/>
      <c r="CQ271" s="159"/>
      <c r="CR271" s="159"/>
      <c r="CS271" s="159"/>
      <c r="CT271" s="159"/>
      <c r="CU271" s="159"/>
      <c r="CV271" s="159"/>
      <c r="CW271" s="159"/>
      <c r="CX271" s="159"/>
      <c r="CY271" s="134"/>
    </row>
    <row r="272" spans="1:103" ht="12.75" customHeight="1" x14ac:dyDescent="0.3">
      <c r="A272" s="155"/>
      <c r="B272" s="134"/>
      <c r="C272" s="134"/>
      <c r="D272" s="134"/>
      <c r="E272" s="157"/>
      <c r="F272" s="157"/>
      <c r="G272" s="157"/>
      <c r="H272" s="157"/>
      <c r="I272" s="158"/>
      <c r="J272" s="159"/>
      <c r="K272" s="159"/>
      <c r="L272" s="159"/>
      <c r="M272" s="160"/>
      <c r="N272" s="160"/>
      <c r="O272" s="160"/>
      <c r="P272" s="158"/>
      <c r="Q272" s="158"/>
      <c r="R272" s="158"/>
      <c r="S272" s="158"/>
      <c r="T272" s="158"/>
      <c r="U272" s="158"/>
      <c r="V272" s="159"/>
      <c r="W272" s="159"/>
      <c r="X272" s="159"/>
      <c r="Y272" s="158"/>
      <c r="Z272" s="159"/>
      <c r="AA272" s="160"/>
      <c r="AB272" s="160"/>
      <c r="AC272" s="160"/>
      <c r="AD272" s="160"/>
      <c r="AE272" s="160"/>
      <c r="AF272" s="159"/>
      <c r="AG272" s="159"/>
      <c r="AH272" s="159"/>
      <c r="AI272" s="159"/>
      <c r="AJ272" s="159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67"/>
      <c r="AU272" s="167"/>
      <c r="AV272" s="167"/>
      <c r="AW272" s="167"/>
      <c r="AX272" s="167"/>
      <c r="AY272" s="167"/>
      <c r="AZ272" s="167"/>
      <c r="BA272" s="167"/>
      <c r="BB272" s="167"/>
      <c r="BC272" s="167"/>
      <c r="BD272" s="167"/>
      <c r="BE272" s="167"/>
      <c r="BF272" s="167"/>
      <c r="BG272" s="167"/>
      <c r="BH272" s="167"/>
      <c r="BI272" s="167"/>
      <c r="BJ272" s="167"/>
      <c r="BK272" s="167"/>
      <c r="BL272" s="167"/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73"/>
      <c r="BW272" s="163" t="s">
        <v>466</v>
      </c>
      <c r="CC272" s="162">
        <v>1000</v>
      </c>
      <c r="CD272" s="162" t="s">
        <v>464</v>
      </c>
      <c r="CE272" s="162" t="s">
        <v>457</v>
      </c>
      <c r="CH272" s="159"/>
      <c r="CI272" s="159"/>
      <c r="CJ272" s="159"/>
      <c r="CK272" s="159"/>
      <c r="CL272" s="159"/>
      <c r="CM272" s="159"/>
      <c r="CN272" s="159"/>
      <c r="CO272" s="159"/>
      <c r="CP272" s="159"/>
      <c r="CQ272" s="159"/>
      <c r="CR272" s="159"/>
      <c r="CS272" s="159"/>
      <c r="CT272" s="159"/>
      <c r="CU272" s="159"/>
      <c r="CV272" s="159"/>
      <c r="CW272" s="159"/>
      <c r="CX272" s="159"/>
      <c r="CY272" s="134"/>
    </row>
    <row r="273" spans="1:103" ht="12.75" customHeight="1" x14ac:dyDescent="0.3">
      <c r="A273" s="155"/>
      <c r="B273" s="134"/>
      <c r="C273" s="134"/>
      <c r="D273" s="134"/>
      <c r="E273" s="157"/>
      <c r="F273" s="157"/>
      <c r="G273" s="157"/>
      <c r="H273" s="157"/>
      <c r="I273" s="158"/>
      <c r="J273" s="159"/>
      <c r="K273" s="159"/>
      <c r="L273" s="159"/>
      <c r="M273" s="160"/>
      <c r="N273" s="160"/>
      <c r="O273" s="160"/>
      <c r="P273" s="158"/>
      <c r="Q273" s="158"/>
      <c r="R273" s="158"/>
      <c r="S273" s="158"/>
      <c r="T273" s="158"/>
      <c r="U273" s="158"/>
      <c r="V273" s="159"/>
      <c r="W273" s="159"/>
      <c r="X273" s="159"/>
      <c r="Y273" s="158"/>
      <c r="Z273" s="159"/>
      <c r="AA273" s="160"/>
      <c r="AB273" s="160"/>
      <c r="AC273" s="160"/>
      <c r="AD273" s="160"/>
      <c r="AE273" s="160"/>
      <c r="AF273" s="159"/>
      <c r="AG273" s="159"/>
      <c r="AH273" s="159"/>
      <c r="AI273" s="159"/>
      <c r="AJ273" s="159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67"/>
      <c r="AU273" s="167"/>
      <c r="AV273" s="167"/>
      <c r="AW273" s="167"/>
      <c r="AX273" s="167"/>
      <c r="AY273" s="167"/>
      <c r="AZ273" s="167"/>
      <c r="BA273" s="167"/>
      <c r="BB273" s="167"/>
      <c r="BC273" s="167"/>
      <c r="BD273" s="167"/>
      <c r="BE273" s="167"/>
      <c r="BF273" s="167"/>
      <c r="BG273" s="167"/>
      <c r="BH273" s="167"/>
      <c r="BI273" s="167"/>
      <c r="BJ273" s="167"/>
      <c r="BK273" s="167"/>
      <c r="BL273" s="167"/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73"/>
      <c r="BW273" s="163"/>
      <c r="CC273" s="162">
        <v>1200</v>
      </c>
      <c r="CD273" s="162" t="s">
        <v>464</v>
      </c>
      <c r="CE273" s="162" t="s">
        <v>457</v>
      </c>
      <c r="CH273" s="159"/>
      <c r="CI273" s="159"/>
      <c r="CJ273" s="159"/>
      <c r="CK273" s="159"/>
      <c r="CL273" s="159"/>
      <c r="CM273" s="159"/>
      <c r="CN273" s="159"/>
      <c r="CO273" s="159"/>
      <c r="CP273" s="159"/>
      <c r="CQ273" s="159"/>
      <c r="CR273" s="159"/>
      <c r="CS273" s="159"/>
      <c r="CT273" s="159"/>
      <c r="CU273" s="159"/>
      <c r="CV273" s="159"/>
      <c r="CW273" s="159"/>
      <c r="CX273" s="159"/>
      <c r="CY273" s="134"/>
    </row>
    <row r="274" spans="1:103" ht="12.75" customHeight="1" x14ac:dyDescent="0.3">
      <c r="A274" s="155"/>
      <c r="B274" s="134"/>
      <c r="C274" s="134"/>
      <c r="D274" s="134"/>
      <c r="E274" s="157"/>
      <c r="F274" s="157"/>
      <c r="G274" s="157"/>
      <c r="H274" s="157"/>
      <c r="I274" s="158"/>
      <c r="J274" s="159"/>
      <c r="K274" s="159"/>
      <c r="L274" s="159"/>
      <c r="M274" s="160"/>
      <c r="N274" s="160"/>
      <c r="O274" s="160"/>
      <c r="P274" s="158"/>
      <c r="Q274" s="158"/>
      <c r="R274" s="158"/>
      <c r="S274" s="158"/>
      <c r="T274" s="158"/>
      <c r="U274" s="158"/>
      <c r="V274" s="159"/>
      <c r="W274" s="159"/>
      <c r="X274" s="159"/>
      <c r="Y274" s="158"/>
      <c r="Z274" s="159"/>
      <c r="AA274" s="160"/>
      <c r="AB274" s="160"/>
      <c r="AC274" s="160"/>
      <c r="AD274" s="160"/>
      <c r="AE274" s="160"/>
      <c r="AF274" s="159"/>
      <c r="AG274" s="159"/>
      <c r="AH274" s="159"/>
      <c r="AI274" s="159"/>
      <c r="AJ274" s="159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67"/>
      <c r="AU274" s="167"/>
      <c r="AV274" s="167"/>
      <c r="AW274" s="167"/>
      <c r="AX274" s="167"/>
      <c r="AY274" s="167"/>
      <c r="AZ274" s="167"/>
      <c r="BA274" s="167"/>
      <c r="BB274" s="167"/>
      <c r="BC274" s="167"/>
      <c r="BD274" s="167"/>
      <c r="BE274" s="167"/>
      <c r="BF274" s="167"/>
      <c r="BG274" s="167"/>
      <c r="BH274" s="167"/>
      <c r="BI274" s="167"/>
      <c r="BJ274" s="167"/>
      <c r="BK274" s="167"/>
      <c r="BL274" s="167"/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73"/>
      <c r="BW274" s="163" t="s">
        <v>447</v>
      </c>
      <c r="CC274" s="162">
        <v>1440</v>
      </c>
      <c r="CD274" s="162" t="s">
        <v>464</v>
      </c>
      <c r="CE274" s="162" t="s">
        <v>457</v>
      </c>
      <c r="CH274" s="159"/>
      <c r="CI274" s="159"/>
      <c r="CJ274" s="159"/>
      <c r="CK274" s="159"/>
      <c r="CL274" s="159"/>
      <c r="CM274" s="159"/>
      <c r="CN274" s="159"/>
      <c r="CO274" s="159"/>
      <c r="CP274" s="159"/>
      <c r="CQ274" s="159"/>
      <c r="CR274" s="159"/>
      <c r="CS274" s="159"/>
      <c r="CT274" s="159"/>
      <c r="CU274" s="159"/>
      <c r="CV274" s="159"/>
      <c r="CW274" s="159"/>
      <c r="CX274" s="159"/>
      <c r="CY274" s="134"/>
    </row>
    <row r="275" spans="1:103" ht="12.75" customHeight="1" x14ac:dyDescent="0.3">
      <c r="A275" s="155"/>
      <c r="B275" s="134"/>
      <c r="C275" s="134"/>
      <c r="D275" s="134"/>
      <c r="E275" s="157"/>
      <c r="F275" s="157"/>
      <c r="G275" s="157"/>
      <c r="H275" s="157"/>
      <c r="I275" s="158"/>
      <c r="J275" s="159"/>
      <c r="K275" s="159"/>
      <c r="L275" s="159"/>
      <c r="M275" s="160"/>
      <c r="N275" s="160"/>
      <c r="O275" s="160"/>
      <c r="P275" s="158"/>
      <c r="Q275" s="158"/>
      <c r="R275" s="158"/>
      <c r="S275" s="158"/>
      <c r="T275" s="158"/>
      <c r="U275" s="158"/>
      <c r="V275" s="159"/>
      <c r="W275" s="159"/>
      <c r="X275" s="159"/>
      <c r="Y275" s="158"/>
      <c r="Z275" s="159"/>
      <c r="AA275" s="160"/>
      <c r="AB275" s="160"/>
      <c r="AC275" s="160"/>
      <c r="AD275" s="160"/>
      <c r="AE275" s="160"/>
      <c r="AF275" s="159"/>
      <c r="AG275" s="159"/>
      <c r="AH275" s="159"/>
      <c r="AI275" s="159"/>
      <c r="AJ275" s="159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67"/>
      <c r="AU275" s="167"/>
      <c r="AV275" s="167"/>
      <c r="AW275" s="167"/>
      <c r="AX275" s="167"/>
      <c r="AY275" s="167"/>
      <c r="AZ275" s="167"/>
      <c r="BA275" s="167"/>
      <c r="BB275" s="167"/>
      <c r="BC275" s="167"/>
      <c r="BD275" s="167"/>
      <c r="BE275" s="167"/>
      <c r="BF275" s="167"/>
      <c r="BG275" s="167"/>
      <c r="BH275" s="167"/>
      <c r="BI275" s="167"/>
      <c r="BJ275" s="167"/>
      <c r="BK275" s="167"/>
      <c r="BL275" s="167"/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73"/>
      <c r="BW275" s="163" t="s">
        <v>467</v>
      </c>
      <c r="CC275" s="162">
        <v>2000</v>
      </c>
      <c r="CD275" s="162" t="s">
        <v>464</v>
      </c>
      <c r="CE275" s="162" t="s">
        <v>457</v>
      </c>
      <c r="CH275" s="159"/>
      <c r="CI275" s="159"/>
      <c r="CJ275" s="159"/>
      <c r="CK275" s="159"/>
      <c r="CL275" s="159"/>
      <c r="CM275" s="159"/>
      <c r="CN275" s="159"/>
      <c r="CO275" s="159"/>
      <c r="CP275" s="159"/>
      <c r="CQ275" s="159"/>
      <c r="CR275" s="159"/>
      <c r="CS275" s="159"/>
      <c r="CT275" s="159"/>
      <c r="CU275" s="159"/>
      <c r="CV275" s="159"/>
      <c r="CW275" s="159"/>
      <c r="CX275" s="159"/>
      <c r="CY275" s="134"/>
    </row>
    <row r="276" spans="1:103" ht="12.75" customHeight="1" x14ac:dyDescent="0.3">
      <c r="A276" s="155"/>
      <c r="B276" s="134"/>
      <c r="C276" s="134"/>
      <c r="D276" s="134"/>
      <c r="E276" s="157"/>
      <c r="F276" s="157"/>
      <c r="G276" s="157"/>
      <c r="H276" s="157"/>
      <c r="I276" s="158"/>
      <c r="J276" s="159"/>
      <c r="K276" s="159"/>
      <c r="L276" s="159"/>
      <c r="M276" s="160"/>
      <c r="N276" s="160"/>
      <c r="O276" s="160"/>
      <c r="P276" s="158"/>
      <c r="Q276" s="158"/>
      <c r="R276" s="158"/>
      <c r="S276" s="158"/>
      <c r="T276" s="158"/>
      <c r="U276" s="158"/>
      <c r="V276" s="159"/>
      <c r="W276" s="159"/>
      <c r="X276" s="159"/>
      <c r="Y276" s="158"/>
      <c r="Z276" s="159"/>
      <c r="AA276" s="160"/>
      <c r="AB276" s="160"/>
      <c r="AC276" s="160"/>
      <c r="AD276" s="160"/>
      <c r="AE276" s="160"/>
      <c r="AF276" s="159"/>
      <c r="AG276" s="159"/>
      <c r="AH276" s="159"/>
      <c r="AI276" s="159"/>
      <c r="AJ276" s="159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67"/>
      <c r="AU276" s="167"/>
      <c r="AV276" s="167"/>
      <c r="AW276" s="167"/>
      <c r="AX276" s="167"/>
      <c r="AY276" s="167"/>
      <c r="AZ276" s="167"/>
      <c r="BA276" s="167"/>
      <c r="BB276" s="167"/>
      <c r="BC276" s="167"/>
      <c r="BD276" s="167"/>
      <c r="BE276" s="167"/>
      <c r="BF276" s="167"/>
      <c r="BG276" s="167"/>
      <c r="BH276" s="167"/>
      <c r="BI276" s="167"/>
      <c r="BJ276" s="167"/>
      <c r="BK276" s="167"/>
      <c r="BL276" s="167"/>
      <c r="BM276" s="167"/>
      <c r="BN276" s="167"/>
      <c r="BO276" s="167"/>
      <c r="BP276" s="167"/>
      <c r="BQ276" s="167"/>
      <c r="BR276" s="167"/>
      <c r="BS276" s="167"/>
      <c r="BT276" s="167"/>
      <c r="BU276" s="167"/>
      <c r="BV276" s="173"/>
      <c r="BW276" s="163" t="s">
        <v>171</v>
      </c>
      <c r="CC276" s="162">
        <v>2400</v>
      </c>
      <c r="CD276" s="162" t="s">
        <v>464</v>
      </c>
      <c r="CE276" s="162" t="s">
        <v>457</v>
      </c>
      <c r="CH276" s="159"/>
      <c r="CI276" s="159"/>
      <c r="CJ276" s="159"/>
      <c r="CK276" s="159"/>
      <c r="CL276" s="159"/>
      <c r="CM276" s="159"/>
      <c r="CN276" s="159"/>
      <c r="CO276" s="159"/>
      <c r="CP276" s="159"/>
      <c r="CQ276" s="159"/>
      <c r="CR276" s="159"/>
      <c r="CS276" s="159"/>
      <c r="CT276" s="159"/>
      <c r="CU276" s="159"/>
      <c r="CV276" s="159"/>
      <c r="CW276" s="159"/>
      <c r="CX276" s="159"/>
      <c r="CY276" s="134"/>
    </row>
    <row r="277" spans="1:103" ht="12.75" customHeight="1" x14ac:dyDescent="0.3">
      <c r="A277" s="155"/>
      <c r="B277" s="134"/>
      <c r="C277" s="134"/>
      <c r="D277" s="134"/>
      <c r="E277" s="157"/>
      <c r="F277" s="157"/>
      <c r="G277" s="157"/>
      <c r="H277" s="157"/>
      <c r="I277" s="158"/>
      <c r="J277" s="159"/>
      <c r="K277" s="159"/>
      <c r="L277" s="159"/>
      <c r="M277" s="160"/>
      <c r="N277" s="160"/>
      <c r="O277" s="160"/>
      <c r="P277" s="158"/>
      <c r="Q277" s="158"/>
      <c r="R277" s="158"/>
      <c r="S277" s="158"/>
      <c r="T277" s="158"/>
      <c r="U277" s="158"/>
      <c r="V277" s="159"/>
      <c r="W277" s="159"/>
      <c r="X277" s="159"/>
      <c r="Y277" s="158"/>
      <c r="Z277" s="159"/>
      <c r="AA277" s="160"/>
      <c r="AB277" s="160"/>
      <c r="AC277" s="160"/>
      <c r="AD277" s="160"/>
      <c r="AE277" s="160"/>
      <c r="AF277" s="159"/>
      <c r="AG277" s="159"/>
      <c r="AH277" s="159"/>
      <c r="AI277" s="159"/>
      <c r="AJ277" s="159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67"/>
      <c r="AU277" s="167"/>
      <c r="AV277" s="167"/>
      <c r="AW277" s="167"/>
      <c r="AX277" s="167"/>
      <c r="AY277" s="167"/>
      <c r="AZ277" s="167"/>
      <c r="BA277" s="167"/>
      <c r="BB277" s="167"/>
      <c r="BC277" s="167"/>
      <c r="BD277" s="167"/>
      <c r="BE277" s="167"/>
      <c r="BF277" s="167"/>
      <c r="BG277" s="167"/>
      <c r="BH277" s="167"/>
      <c r="BI277" s="167"/>
      <c r="BJ277" s="167"/>
      <c r="BK277" s="167"/>
      <c r="BL277" s="167"/>
      <c r="BM277" s="167"/>
      <c r="BN277" s="167"/>
      <c r="BO277" s="167"/>
      <c r="BP277" s="167"/>
      <c r="BQ277" s="167"/>
      <c r="BR277" s="167"/>
      <c r="BS277" s="167"/>
      <c r="BT277" s="167"/>
      <c r="BU277" s="167"/>
      <c r="BV277" s="173"/>
      <c r="BW277" s="163" t="s">
        <v>468</v>
      </c>
      <c r="CC277" s="162">
        <v>4000</v>
      </c>
      <c r="CD277" s="162" t="s">
        <v>464</v>
      </c>
      <c r="CE277" s="162" t="s">
        <v>457</v>
      </c>
      <c r="CH277" s="159"/>
      <c r="CI277" s="159"/>
      <c r="CJ277" s="159"/>
      <c r="CK277" s="159"/>
      <c r="CL277" s="159"/>
      <c r="CM277" s="159"/>
      <c r="CN277" s="159"/>
      <c r="CO277" s="159"/>
      <c r="CP277" s="159"/>
      <c r="CQ277" s="159"/>
      <c r="CR277" s="159"/>
      <c r="CS277" s="159"/>
      <c r="CT277" s="159"/>
      <c r="CU277" s="159"/>
      <c r="CV277" s="159"/>
      <c r="CW277" s="159"/>
      <c r="CX277" s="159"/>
      <c r="CY277" s="134"/>
    </row>
    <row r="278" spans="1:103" ht="12.75" customHeight="1" x14ac:dyDescent="0.3">
      <c r="A278" s="155"/>
      <c r="B278" s="134"/>
      <c r="C278" s="134"/>
      <c r="D278" s="134"/>
      <c r="E278" s="157"/>
      <c r="F278" s="157"/>
      <c r="G278" s="157"/>
      <c r="H278" s="157"/>
      <c r="I278" s="158"/>
      <c r="J278" s="159"/>
      <c r="K278" s="159"/>
      <c r="L278" s="159"/>
      <c r="M278" s="160"/>
      <c r="N278" s="160"/>
      <c r="O278" s="160"/>
      <c r="P278" s="158"/>
      <c r="Q278" s="158"/>
      <c r="R278" s="158"/>
      <c r="S278" s="158"/>
      <c r="T278" s="158"/>
      <c r="U278" s="158"/>
      <c r="V278" s="159"/>
      <c r="W278" s="159"/>
      <c r="X278" s="159"/>
      <c r="Y278" s="158"/>
      <c r="Z278" s="159"/>
      <c r="AA278" s="160"/>
      <c r="AB278" s="160"/>
      <c r="AC278" s="160"/>
      <c r="AD278" s="160"/>
      <c r="AE278" s="160"/>
      <c r="AF278" s="159"/>
      <c r="AG278" s="159"/>
      <c r="AH278" s="159"/>
      <c r="AI278" s="159"/>
      <c r="AJ278" s="159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67"/>
      <c r="AU278" s="167"/>
      <c r="AV278" s="167"/>
      <c r="AW278" s="167"/>
      <c r="AX278" s="167"/>
      <c r="AY278" s="167"/>
      <c r="AZ278" s="167"/>
      <c r="BA278" s="167"/>
      <c r="BB278" s="167"/>
      <c r="BC278" s="167"/>
      <c r="BD278" s="167"/>
      <c r="BE278" s="167"/>
      <c r="BF278" s="167"/>
      <c r="BG278" s="167"/>
      <c r="BH278" s="167"/>
      <c r="BI278" s="167"/>
      <c r="BJ278" s="167"/>
      <c r="BK278" s="167"/>
      <c r="BL278" s="167"/>
      <c r="BM278" s="167"/>
      <c r="BN278" s="167"/>
      <c r="BO278" s="167"/>
      <c r="BP278" s="167"/>
      <c r="BQ278" s="167"/>
      <c r="BR278" s="167"/>
      <c r="BS278" s="167"/>
      <c r="BT278" s="167"/>
      <c r="BU278" s="167"/>
      <c r="BV278" s="173"/>
      <c r="BW278" s="163" t="s">
        <v>469</v>
      </c>
      <c r="CH278" s="159"/>
      <c r="CI278" s="159"/>
      <c r="CJ278" s="159"/>
      <c r="CK278" s="159"/>
      <c r="CL278" s="159"/>
      <c r="CM278" s="159"/>
      <c r="CN278" s="159"/>
      <c r="CO278" s="159"/>
      <c r="CP278" s="159"/>
      <c r="CQ278" s="159"/>
      <c r="CR278" s="159"/>
      <c r="CS278" s="159"/>
      <c r="CT278" s="159"/>
      <c r="CU278" s="159"/>
      <c r="CV278" s="159"/>
      <c r="CW278" s="159"/>
      <c r="CX278" s="159"/>
      <c r="CY278" s="134"/>
    </row>
    <row r="279" spans="1:103" ht="12.75" customHeight="1" x14ac:dyDescent="0.3">
      <c r="A279" s="155"/>
      <c r="B279" s="134"/>
      <c r="C279" s="134"/>
      <c r="D279" s="134"/>
      <c r="E279" s="157"/>
      <c r="F279" s="157"/>
      <c r="G279" s="157"/>
      <c r="H279" s="157"/>
      <c r="I279" s="158"/>
      <c r="J279" s="159"/>
      <c r="K279" s="159"/>
      <c r="L279" s="159"/>
      <c r="M279" s="160"/>
      <c r="N279" s="160"/>
      <c r="O279" s="160"/>
      <c r="P279" s="158"/>
      <c r="Q279" s="158"/>
      <c r="R279" s="158"/>
      <c r="S279" s="158"/>
      <c r="T279" s="158"/>
      <c r="U279" s="158"/>
      <c r="V279" s="159"/>
      <c r="W279" s="159"/>
      <c r="X279" s="159"/>
      <c r="Y279" s="158"/>
      <c r="Z279" s="159"/>
      <c r="AA279" s="160"/>
      <c r="AB279" s="160"/>
      <c r="AC279" s="160"/>
      <c r="AD279" s="160"/>
      <c r="AE279" s="160"/>
      <c r="AF279" s="159"/>
      <c r="AG279" s="159"/>
      <c r="AH279" s="159"/>
      <c r="AI279" s="159"/>
      <c r="AJ279" s="159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67"/>
      <c r="AU279" s="167"/>
      <c r="AV279" s="167"/>
      <c r="AW279" s="167"/>
      <c r="AX279" s="167"/>
      <c r="AY279" s="167"/>
      <c r="AZ279" s="167"/>
      <c r="BA279" s="167"/>
      <c r="BB279" s="167"/>
      <c r="BC279" s="167"/>
      <c r="BD279" s="167"/>
      <c r="BE279" s="167"/>
      <c r="BF279" s="167"/>
      <c r="BG279" s="167"/>
      <c r="BH279" s="167"/>
      <c r="BI279" s="167"/>
      <c r="BJ279" s="167"/>
      <c r="BK279" s="167"/>
      <c r="BL279" s="167"/>
      <c r="BM279" s="167"/>
      <c r="BN279" s="167"/>
      <c r="BO279" s="167"/>
      <c r="BP279" s="167"/>
      <c r="BQ279" s="167"/>
      <c r="BR279" s="167"/>
      <c r="BS279" s="167"/>
      <c r="BT279" s="167"/>
      <c r="BU279" s="167"/>
      <c r="BV279" s="173"/>
      <c r="BW279" s="163" t="s">
        <v>470</v>
      </c>
      <c r="CH279" s="159"/>
      <c r="CI279" s="159"/>
      <c r="CJ279" s="159"/>
      <c r="CK279" s="159"/>
      <c r="CL279" s="159"/>
      <c r="CM279" s="159"/>
      <c r="CN279" s="159"/>
      <c r="CO279" s="159"/>
      <c r="CP279" s="159"/>
      <c r="CQ279" s="159"/>
      <c r="CR279" s="159"/>
      <c r="CS279" s="159"/>
      <c r="CT279" s="159"/>
      <c r="CU279" s="159"/>
      <c r="CV279" s="159"/>
      <c r="CW279" s="159"/>
      <c r="CX279" s="159"/>
      <c r="CY279" s="134"/>
    </row>
    <row r="280" spans="1:103" ht="12.75" customHeight="1" x14ac:dyDescent="0.3">
      <c r="A280" s="155"/>
      <c r="B280" s="134"/>
      <c r="C280" s="134"/>
      <c r="D280" s="134"/>
      <c r="E280" s="157"/>
      <c r="F280" s="157"/>
      <c r="G280" s="157"/>
      <c r="H280" s="157"/>
      <c r="I280" s="158"/>
      <c r="J280" s="159"/>
      <c r="K280" s="159"/>
      <c r="L280" s="159"/>
      <c r="M280" s="160"/>
      <c r="N280" s="160"/>
      <c r="O280" s="160"/>
      <c r="P280" s="158"/>
      <c r="Q280" s="158"/>
      <c r="R280" s="158"/>
      <c r="S280" s="158"/>
      <c r="T280" s="158"/>
      <c r="U280" s="158"/>
      <c r="V280" s="159"/>
      <c r="W280" s="159"/>
      <c r="X280" s="159"/>
      <c r="Y280" s="158"/>
      <c r="Z280" s="159"/>
      <c r="AA280" s="160"/>
      <c r="AB280" s="160"/>
      <c r="AC280" s="160"/>
      <c r="AD280" s="160"/>
      <c r="AE280" s="160"/>
      <c r="AF280" s="159"/>
      <c r="AG280" s="159"/>
      <c r="AH280" s="159"/>
      <c r="AI280" s="159"/>
      <c r="AJ280" s="159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67"/>
      <c r="AU280" s="167"/>
      <c r="AV280" s="167"/>
      <c r="AW280" s="167"/>
      <c r="AX280" s="167"/>
      <c r="AY280" s="167"/>
      <c r="AZ280" s="167"/>
      <c r="BA280" s="167"/>
      <c r="BB280" s="167"/>
      <c r="BC280" s="167"/>
      <c r="BD280" s="167"/>
      <c r="BE280" s="167"/>
      <c r="BF280" s="167"/>
      <c r="BG280" s="167"/>
      <c r="BH280" s="167"/>
      <c r="BI280" s="167"/>
      <c r="BJ280" s="167"/>
      <c r="BK280" s="167"/>
      <c r="BL280" s="167"/>
      <c r="BM280" s="167"/>
      <c r="BN280" s="167"/>
      <c r="BO280" s="167"/>
      <c r="BP280" s="167"/>
      <c r="BQ280" s="167"/>
      <c r="BR280" s="167"/>
      <c r="BS280" s="167"/>
      <c r="BT280" s="167"/>
      <c r="BU280" s="167"/>
      <c r="BW280" s="163" t="s">
        <v>471</v>
      </c>
      <c r="CH280" s="159"/>
      <c r="CI280" s="159"/>
      <c r="CJ280" s="159"/>
      <c r="CK280" s="159"/>
      <c r="CL280" s="159"/>
      <c r="CM280" s="159"/>
      <c r="CN280" s="159"/>
      <c r="CO280" s="159"/>
      <c r="CP280" s="159"/>
      <c r="CQ280" s="159"/>
      <c r="CR280" s="159"/>
      <c r="CS280" s="159"/>
      <c r="CT280" s="159"/>
      <c r="CU280" s="159"/>
      <c r="CV280" s="159"/>
      <c r="CW280" s="159"/>
      <c r="CX280" s="159"/>
      <c r="CY280" s="134"/>
    </row>
    <row r="281" spans="1:103" ht="12.75" customHeight="1" x14ac:dyDescent="0.3">
      <c r="A281" s="155"/>
      <c r="B281" s="134"/>
      <c r="C281" s="134"/>
      <c r="D281" s="134"/>
      <c r="E281" s="157"/>
      <c r="F281" s="157"/>
      <c r="G281" s="157"/>
      <c r="H281" s="157"/>
      <c r="I281" s="158"/>
      <c r="J281" s="159"/>
      <c r="K281" s="159"/>
      <c r="L281" s="159"/>
      <c r="M281" s="160"/>
      <c r="N281" s="160"/>
      <c r="O281" s="160"/>
      <c r="P281" s="158"/>
      <c r="Q281" s="158"/>
      <c r="R281" s="158"/>
      <c r="S281" s="158"/>
      <c r="T281" s="158"/>
      <c r="U281" s="158"/>
      <c r="V281" s="159"/>
      <c r="W281" s="159"/>
      <c r="X281" s="159"/>
      <c r="Y281" s="158"/>
      <c r="Z281" s="159"/>
      <c r="AA281" s="160"/>
      <c r="AB281" s="160"/>
      <c r="AC281" s="160"/>
      <c r="AD281" s="160"/>
      <c r="AE281" s="160"/>
      <c r="AF281" s="159"/>
      <c r="AG281" s="159"/>
      <c r="AH281" s="159"/>
      <c r="AI281" s="159"/>
      <c r="AJ281" s="159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67"/>
      <c r="AU281" s="167"/>
      <c r="AV281" s="167"/>
      <c r="AW281" s="167"/>
      <c r="AX281" s="167"/>
      <c r="AY281" s="167"/>
      <c r="AZ281" s="167"/>
      <c r="BA281" s="167"/>
      <c r="BB281" s="167"/>
      <c r="BC281" s="167"/>
      <c r="BD281" s="167"/>
      <c r="BE281" s="167"/>
      <c r="BF281" s="167"/>
      <c r="BG281" s="167"/>
      <c r="BH281" s="167"/>
      <c r="BI281" s="167"/>
      <c r="BJ281" s="167"/>
      <c r="BK281" s="167"/>
      <c r="BL281" s="167"/>
      <c r="BM281" s="167"/>
      <c r="BN281" s="167"/>
      <c r="BO281" s="167"/>
      <c r="BP281" s="167"/>
      <c r="BQ281" s="167"/>
      <c r="BR281" s="167"/>
      <c r="BS281" s="167"/>
      <c r="BT281" s="167"/>
      <c r="BU281" s="167"/>
      <c r="BW281" s="163" t="s">
        <v>472</v>
      </c>
      <c r="CH281" s="159"/>
      <c r="CI281" s="159"/>
      <c r="CJ281" s="159"/>
      <c r="CK281" s="159"/>
      <c r="CL281" s="159"/>
      <c r="CM281" s="159"/>
      <c r="CN281" s="159"/>
      <c r="CO281" s="159"/>
      <c r="CP281" s="159"/>
      <c r="CQ281" s="159"/>
      <c r="CR281" s="159"/>
      <c r="CS281" s="159"/>
      <c r="CT281" s="159"/>
      <c r="CU281" s="159"/>
      <c r="CV281" s="159"/>
      <c r="CW281" s="159"/>
      <c r="CX281" s="159"/>
      <c r="CY281" s="134"/>
    </row>
    <row r="282" spans="1:103" ht="12.75" customHeight="1" x14ac:dyDescent="0.3">
      <c r="A282" s="155"/>
      <c r="B282" s="134"/>
      <c r="C282" s="134"/>
      <c r="D282" s="134"/>
      <c r="E282" s="157"/>
      <c r="F282" s="157"/>
      <c r="G282" s="157"/>
      <c r="H282" s="157"/>
      <c r="I282" s="158"/>
      <c r="J282" s="159"/>
      <c r="K282" s="159"/>
      <c r="L282" s="159"/>
      <c r="M282" s="160"/>
      <c r="N282" s="160"/>
      <c r="O282" s="160"/>
      <c r="P282" s="158"/>
      <c r="Q282" s="158"/>
      <c r="R282" s="158"/>
      <c r="S282" s="158"/>
      <c r="T282" s="158"/>
      <c r="U282" s="158"/>
      <c r="V282" s="159"/>
      <c r="W282" s="159"/>
      <c r="X282" s="159"/>
      <c r="Y282" s="158"/>
      <c r="Z282" s="159"/>
      <c r="AA282" s="160"/>
      <c r="AB282" s="160"/>
      <c r="AC282" s="160"/>
      <c r="AD282" s="160"/>
      <c r="AE282" s="160"/>
      <c r="AF282" s="159"/>
      <c r="AG282" s="159"/>
      <c r="AH282" s="159"/>
      <c r="AI282" s="159"/>
      <c r="AJ282" s="159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67"/>
      <c r="AU282" s="167"/>
      <c r="AV282" s="167"/>
      <c r="AW282" s="167"/>
      <c r="AX282" s="167"/>
      <c r="AY282" s="167"/>
      <c r="AZ282" s="167"/>
      <c r="BA282" s="167"/>
      <c r="BB282" s="167"/>
      <c r="BC282" s="167"/>
      <c r="BD282" s="167"/>
      <c r="BE282" s="167"/>
      <c r="BF282" s="167"/>
      <c r="BG282" s="167"/>
      <c r="BH282" s="167"/>
      <c r="BI282" s="167"/>
      <c r="BJ282" s="167"/>
      <c r="BK282" s="167"/>
      <c r="BL282" s="167"/>
      <c r="BM282" s="167"/>
      <c r="BN282" s="167"/>
      <c r="BO282" s="167"/>
      <c r="BP282" s="167"/>
      <c r="BQ282" s="167"/>
      <c r="BR282" s="167"/>
      <c r="BS282" s="167"/>
      <c r="BT282" s="167"/>
      <c r="BU282" s="167"/>
      <c r="BW282" s="163" t="s">
        <v>473</v>
      </c>
      <c r="CH282" s="159"/>
      <c r="CI282" s="159"/>
      <c r="CJ282" s="159"/>
      <c r="CK282" s="159"/>
      <c r="CL282" s="159"/>
      <c r="CM282" s="159"/>
      <c r="CN282" s="159"/>
      <c r="CO282" s="159"/>
      <c r="CP282" s="159"/>
      <c r="CQ282" s="159"/>
      <c r="CR282" s="159"/>
      <c r="CS282" s="159"/>
      <c r="CT282" s="159"/>
      <c r="CU282" s="159"/>
      <c r="CV282" s="159"/>
      <c r="CW282" s="159"/>
      <c r="CX282" s="159"/>
      <c r="CY282" s="134"/>
    </row>
    <row r="283" spans="1:103" ht="12.75" customHeight="1" x14ac:dyDescent="0.3">
      <c r="A283" s="155"/>
      <c r="B283" s="134"/>
      <c r="C283" s="134"/>
      <c r="D283" s="134"/>
      <c r="E283" s="157"/>
      <c r="F283" s="157"/>
      <c r="G283" s="157"/>
      <c r="H283" s="157"/>
      <c r="I283" s="158"/>
      <c r="J283" s="159"/>
      <c r="K283" s="159"/>
      <c r="L283" s="159"/>
      <c r="M283" s="160"/>
      <c r="N283" s="160"/>
      <c r="O283" s="160"/>
      <c r="P283" s="158"/>
      <c r="Q283" s="158"/>
      <c r="R283" s="158"/>
      <c r="S283" s="158"/>
      <c r="T283" s="158"/>
      <c r="U283" s="158"/>
      <c r="V283" s="159"/>
      <c r="W283" s="159"/>
      <c r="X283" s="159"/>
      <c r="Y283" s="158"/>
      <c r="Z283" s="159"/>
      <c r="AA283" s="160"/>
      <c r="AB283" s="160"/>
      <c r="AC283" s="160"/>
      <c r="AD283" s="160"/>
      <c r="AE283" s="160"/>
      <c r="AF283" s="159"/>
      <c r="AG283" s="159"/>
      <c r="AH283" s="159"/>
      <c r="AI283" s="159"/>
      <c r="AJ283" s="159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67"/>
      <c r="AU283" s="167"/>
      <c r="AV283" s="167"/>
      <c r="AW283" s="167"/>
      <c r="AX283" s="167"/>
      <c r="AY283" s="167"/>
      <c r="AZ283" s="167"/>
      <c r="BA283" s="167"/>
      <c r="BB283" s="167"/>
      <c r="BC283" s="167"/>
      <c r="BD283" s="167"/>
      <c r="BE283" s="167"/>
      <c r="BF283" s="167"/>
      <c r="BG283" s="167"/>
      <c r="BH283" s="167"/>
      <c r="BI283" s="167"/>
      <c r="BJ283" s="167"/>
      <c r="BK283" s="167"/>
      <c r="BL283" s="167"/>
      <c r="BM283" s="167"/>
      <c r="BN283" s="167"/>
      <c r="BO283" s="167"/>
      <c r="BP283" s="167"/>
      <c r="BQ283" s="167"/>
      <c r="BR283" s="167"/>
      <c r="BS283" s="167"/>
      <c r="BT283" s="167"/>
      <c r="BU283" s="167"/>
      <c r="BW283" s="163" t="s">
        <v>474</v>
      </c>
      <c r="CH283" s="159"/>
      <c r="CI283" s="159"/>
      <c r="CJ283" s="159"/>
      <c r="CK283" s="159"/>
      <c r="CL283" s="159"/>
      <c r="CM283" s="159"/>
      <c r="CN283" s="159"/>
      <c r="CO283" s="159"/>
      <c r="CP283" s="159"/>
      <c r="CQ283" s="159"/>
      <c r="CR283" s="159"/>
      <c r="CS283" s="159"/>
      <c r="CT283" s="159"/>
      <c r="CU283" s="159"/>
      <c r="CV283" s="159"/>
      <c r="CW283" s="159"/>
      <c r="CX283" s="159"/>
      <c r="CY283" s="134"/>
    </row>
    <row r="284" spans="1:103" ht="12.75" customHeight="1" x14ac:dyDescent="0.3">
      <c r="A284" s="155"/>
      <c r="B284" s="134"/>
      <c r="C284" s="134"/>
      <c r="D284" s="134"/>
      <c r="E284" s="157"/>
      <c r="F284" s="157"/>
      <c r="G284" s="157"/>
      <c r="H284" s="157"/>
      <c r="I284" s="158"/>
      <c r="J284" s="159"/>
      <c r="K284" s="159"/>
      <c r="L284" s="159"/>
      <c r="M284" s="160"/>
      <c r="N284" s="160"/>
      <c r="O284" s="160"/>
      <c r="P284" s="158"/>
      <c r="Q284" s="158"/>
      <c r="R284" s="158"/>
      <c r="S284" s="158"/>
      <c r="T284" s="158"/>
      <c r="U284" s="158"/>
      <c r="V284" s="159"/>
      <c r="W284" s="159"/>
      <c r="X284" s="159"/>
      <c r="Y284" s="158"/>
      <c r="Z284" s="159"/>
      <c r="AA284" s="160"/>
      <c r="AB284" s="160"/>
      <c r="AC284" s="160"/>
      <c r="AD284" s="160"/>
      <c r="AE284" s="160"/>
      <c r="AF284" s="159"/>
      <c r="AG284" s="159"/>
      <c r="AH284" s="159"/>
      <c r="AI284" s="159"/>
      <c r="AJ284" s="159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67"/>
      <c r="AU284" s="167"/>
      <c r="AV284" s="167"/>
      <c r="AW284" s="167"/>
      <c r="AX284" s="167"/>
      <c r="AY284" s="167"/>
      <c r="AZ284" s="167"/>
      <c r="BA284" s="167"/>
      <c r="BB284" s="167"/>
      <c r="BC284" s="167"/>
      <c r="BD284" s="167"/>
      <c r="BE284" s="167"/>
      <c r="BF284" s="167"/>
      <c r="BG284" s="167"/>
      <c r="BH284" s="167"/>
      <c r="BI284" s="167"/>
      <c r="BJ284" s="167"/>
      <c r="BK284" s="167"/>
      <c r="BL284" s="167"/>
      <c r="BM284" s="167"/>
      <c r="BN284" s="167"/>
      <c r="BO284" s="167"/>
      <c r="BP284" s="167"/>
      <c r="BQ284" s="167"/>
      <c r="BR284" s="167"/>
      <c r="BS284" s="167"/>
      <c r="BT284" s="167"/>
      <c r="BU284" s="167"/>
      <c r="BW284" s="163" t="s">
        <v>475</v>
      </c>
      <c r="CH284" s="159"/>
      <c r="CI284" s="159"/>
      <c r="CJ284" s="159"/>
      <c r="CK284" s="159"/>
      <c r="CL284" s="159"/>
      <c r="CM284" s="159"/>
      <c r="CN284" s="159"/>
      <c r="CO284" s="159"/>
      <c r="CP284" s="159"/>
      <c r="CQ284" s="159"/>
      <c r="CR284" s="159"/>
      <c r="CS284" s="159"/>
      <c r="CT284" s="159"/>
      <c r="CU284" s="159"/>
      <c r="CV284" s="159"/>
      <c r="CW284" s="159"/>
      <c r="CX284" s="159"/>
      <c r="CY284" s="134"/>
    </row>
    <row r="285" spans="1:103" ht="12.75" customHeight="1" x14ac:dyDescent="0.3">
      <c r="A285" s="155"/>
      <c r="B285" s="134"/>
      <c r="C285" s="134"/>
      <c r="D285" s="134"/>
      <c r="E285" s="157"/>
      <c r="F285" s="157"/>
      <c r="G285" s="157"/>
      <c r="H285" s="157"/>
      <c r="I285" s="158"/>
      <c r="J285" s="159"/>
      <c r="K285" s="159"/>
      <c r="L285" s="159"/>
      <c r="M285" s="160"/>
      <c r="N285" s="160"/>
      <c r="O285" s="160"/>
      <c r="P285" s="158"/>
      <c r="Q285" s="158"/>
      <c r="R285" s="158"/>
      <c r="S285" s="158"/>
      <c r="T285" s="158"/>
      <c r="U285" s="158"/>
      <c r="V285" s="159"/>
      <c r="W285" s="159"/>
      <c r="X285" s="159"/>
      <c r="Y285" s="158"/>
      <c r="Z285" s="159"/>
      <c r="AA285" s="160"/>
      <c r="AB285" s="160"/>
      <c r="AC285" s="160"/>
      <c r="AD285" s="160"/>
      <c r="AE285" s="160"/>
      <c r="AF285" s="159"/>
      <c r="AG285" s="159"/>
      <c r="AH285" s="159"/>
      <c r="AI285" s="159"/>
      <c r="AJ285" s="159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67"/>
      <c r="AU285" s="167"/>
      <c r="AV285" s="167"/>
      <c r="AW285" s="167"/>
      <c r="AX285" s="167"/>
      <c r="AY285" s="167"/>
      <c r="AZ285" s="167"/>
      <c r="BA285" s="167"/>
      <c r="BB285" s="167"/>
      <c r="BC285" s="167"/>
      <c r="BD285" s="167"/>
      <c r="BE285" s="167"/>
      <c r="BF285" s="167"/>
      <c r="BG285" s="167"/>
      <c r="BH285" s="167"/>
      <c r="BI285" s="167"/>
      <c r="BJ285" s="167"/>
      <c r="BK285" s="167"/>
      <c r="BL285" s="167"/>
      <c r="BM285" s="167"/>
      <c r="BN285" s="167"/>
      <c r="BO285" s="167"/>
      <c r="BP285" s="167"/>
      <c r="BQ285" s="167"/>
      <c r="BR285" s="167"/>
      <c r="BS285" s="167"/>
      <c r="BT285" s="167"/>
      <c r="BU285" s="167"/>
      <c r="BW285" s="163" t="s">
        <v>476</v>
      </c>
      <c r="CH285" s="159"/>
      <c r="CI285" s="159"/>
      <c r="CJ285" s="159"/>
      <c r="CK285" s="159"/>
      <c r="CL285" s="159"/>
      <c r="CM285" s="159"/>
      <c r="CN285" s="159"/>
      <c r="CO285" s="159"/>
      <c r="CP285" s="159"/>
      <c r="CQ285" s="159"/>
      <c r="CR285" s="159"/>
      <c r="CS285" s="159"/>
      <c r="CT285" s="159"/>
      <c r="CU285" s="159"/>
      <c r="CV285" s="159"/>
      <c r="CW285" s="159"/>
      <c r="CX285" s="159"/>
      <c r="CY285" s="134"/>
    </row>
    <row r="286" spans="1:103" ht="12.75" customHeight="1" x14ac:dyDescent="0.3">
      <c r="A286" s="155"/>
      <c r="B286" s="134"/>
      <c r="C286" s="134"/>
      <c r="D286" s="134"/>
      <c r="E286" s="157"/>
      <c r="F286" s="157"/>
      <c r="G286" s="157"/>
      <c r="H286" s="157"/>
      <c r="I286" s="158"/>
      <c r="J286" s="159"/>
      <c r="K286" s="159"/>
      <c r="L286" s="159"/>
      <c r="M286" s="160"/>
      <c r="N286" s="160"/>
      <c r="O286" s="160"/>
      <c r="P286" s="158"/>
      <c r="Q286" s="158"/>
      <c r="R286" s="158"/>
      <c r="S286" s="158"/>
      <c r="T286" s="158"/>
      <c r="U286" s="158"/>
      <c r="V286" s="159"/>
      <c r="W286" s="159"/>
      <c r="X286" s="159"/>
      <c r="Y286" s="158"/>
      <c r="Z286" s="159"/>
      <c r="AA286" s="160"/>
      <c r="AB286" s="160"/>
      <c r="AC286" s="160"/>
      <c r="AD286" s="160"/>
      <c r="AE286" s="160"/>
      <c r="AF286" s="159"/>
      <c r="AG286" s="159"/>
      <c r="AH286" s="159"/>
      <c r="AI286" s="159"/>
      <c r="AJ286" s="159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67"/>
      <c r="AU286" s="167"/>
      <c r="AV286" s="167"/>
      <c r="AW286" s="167"/>
      <c r="AX286" s="167"/>
      <c r="AY286" s="167"/>
      <c r="AZ286" s="167"/>
      <c r="BA286" s="167"/>
      <c r="BB286" s="167"/>
      <c r="BC286" s="167"/>
      <c r="BD286" s="167"/>
      <c r="BE286" s="167"/>
      <c r="BF286" s="167"/>
      <c r="BG286" s="167"/>
      <c r="BH286" s="167"/>
      <c r="BI286" s="167"/>
      <c r="BJ286" s="167"/>
      <c r="BK286" s="167"/>
      <c r="BL286" s="167"/>
      <c r="BM286" s="167"/>
      <c r="BN286" s="167"/>
      <c r="BO286" s="167"/>
      <c r="BP286" s="167"/>
      <c r="BQ286" s="167"/>
      <c r="BR286" s="167"/>
      <c r="BS286" s="167"/>
      <c r="BT286" s="167"/>
      <c r="BU286" s="167"/>
      <c r="BW286" s="163" t="s">
        <v>477</v>
      </c>
      <c r="CH286" s="159"/>
      <c r="CI286" s="159"/>
      <c r="CJ286" s="159"/>
      <c r="CK286" s="159"/>
      <c r="CL286" s="159"/>
      <c r="CM286" s="159"/>
      <c r="CN286" s="159"/>
      <c r="CO286" s="159"/>
      <c r="CP286" s="159"/>
      <c r="CQ286" s="159"/>
      <c r="CR286" s="159"/>
      <c r="CS286" s="159"/>
      <c r="CT286" s="159"/>
      <c r="CU286" s="159"/>
      <c r="CV286" s="159"/>
      <c r="CW286" s="159"/>
      <c r="CX286" s="159"/>
      <c r="CY286" s="134"/>
    </row>
    <row r="287" spans="1:103" ht="12.75" customHeight="1" x14ac:dyDescent="0.3">
      <c r="A287" s="155"/>
      <c r="B287" s="134"/>
      <c r="C287" s="134"/>
      <c r="D287" s="134"/>
      <c r="E287" s="157"/>
      <c r="F287" s="157"/>
      <c r="G287" s="157"/>
      <c r="H287" s="157"/>
      <c r="I287" s="158"/>
      <c r="J287" s="159"/>
      <c r="K287" s="159"/>
      <c r="L287" s="159"/>
      <c r="M287" s="160"/>
      <c r="N287" s="160"/>
      <c r="O287" s="160"/>
      <c r="P287" s="158"/>
      <c r="Q287" s="158"/>
      <c r="R287" s="158"/>
      <c r="S287" s="158"/>
      <c r="T287" s="158"/>
      <c r="U287" s="158"/>
      <c r="V287" s="159"/>
      <c r="W287" s="159"/>
      <c r="X287" s="159"/>
      <c r="Y287" s="158"/>
      <c r="Z287" s="159"/>
      <c r="AA287" s="160"/>
      <c r="AB287" s="160"/>
      <c r="AC287" s="160"/>
      <c r="AD287" s="160"/>
      <c r="AE287" s="160"/>
      <c r="AF287" s="159"/>
      <c r="AG287" s="159"/>
      <c r="AH287" s="159"/>
      <c r="AI287" s="159"/>
      <c r="AJ287" s="159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67"/>
      <c r="AU287" s="167"/>
      <c r="AV287" s="167"/>
      <c r="AW287" s="167"/>
      <c r="AX287" s="167"/>
      <c r="AY287" s="167"/>
      <c r="AZ287" s="167"/>
      <c r="BA287" s="167"/>
      <c r="BB287" s="167"/>
      <c r="BC287" s="167"/>
      <c r="BD287" s="167"/>
      <c r="BE287" s="167"/>
      <c r="BF287" s="167"/>
      <c r="BG287" s="167"/>
      <c r="BH287" s="167"/>
      <c r="BI287" s="167"/>
      <c r="BJ287" s="167"/>
      <c r="BK287" s="167"/>
      <c r="BL287" s="167"/>
      <c r="BM287" s="167"/>
      <c r="BN287" s="167"/>
      <c r="BO287" s="167"/>
      <c r="BP287" s="167"/>
      <c r="BQ287" s="167"/>
      <c r="BR287" s="167"/>
      <c r="BS287" s="167"/>
      <c r="BT287" s="167"/>
      <c r="BU287" s="167"/>
      <c r="BW287" s="163" t="s">
        <v>478</v>
      </c>
      <c r="CH287" s="159"/>
      <c r="CI287" s="159"/>
      <c r="CJ287" s="159"/>
      <c r="CK287" s="159"/>
      <c r="CL287" s="159"/>
      <c r="CM287" s="159"/>
      <c r="CN287" s="159"/>
      <c r="CO287" s="159"/>
      <c r="CP287" s="159"/>
      <c r="CQ287" s="159"/>
      <c r="CR287" s="159"/>
      <c r="CS287" s="159"/>
      <c r="CT287" s="159"/>
      <c r="CU287" s="159"/>
      <c r="CV287" s="159"/>
      <c r="CW287" s="159"/>
      <c r="CX287" s="159"/>
      <c r="CY287" s="134"/>
    </row>
    <row r="288" spans="1:103" ht="12.75" customHeight="1" x14ac:dyDescent="0.3">
      <c r="A288" s="155"/>
      <c r="B288" s="134"/>
      <c r="C288" s="134"/>
      <c r="D288" s="134"/>
      <c r="E288" s="157"/>
      <c r="F288" s="157"/>
      <c r="G288" s="157"/>
      <c r="H288" s="157"/>
      <c r="I288" s="158"/>
      <c r="J288" s="159"/>
      <c r="K288" s="159"/>
      <c r="L288" s="159"/>
      <c r="M288" s="160"/>
      <c r="N288" s="160"/>
      <c r="O288" s="160"/>
      <c r="P288" s="158"/>
      <c r="Q288" s="158"/>
      <c r="R288" s="158"/>
      <c r="S288" s="158"/>
      <c r="T288" s="158"/>
      <c r="U288" s="158"/>
      <c r="V288" s="159"/>
      <c r="W288" s="159"/>
      <c r="X288" s="159"/>
      <c r="Y288" s="158"/>
      <c r="Z288" s="159"/>
      <c r="AA288" s="160"/>
      <c r="AB288" s="160"/>
      <c r="AC288" s="160"/>
      <c r="AD288" s="160"/>
      <c r="AE288" s="160"/>
      <c r="AF288" s="159"/>
      <c r="AG288" s="159"/>
      <c r="AH288" s="159"/>
      <c r="AI288" s="159"/>
      <c r="AJ288" s="159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67"/>
      <c r="AU288" s="167"/>
      <c r="AV288" s="167"/>
      <c r="AW288" s="167"/>
      <c r="AX288" s="167"/>
      <c r="AY288" s="167"/>
      <c r="AZ288" s="167"/>
      <c r="BA288" s="167"/>
      <c r="BB288" s="167"/>
      <c r="BC288" s="167"/>
      <c r="BD288" s="167"/>
      <c r="BE288" s="167"/>
      <c r="BF288" s="167"/>
      <c r="BG288" s="167"/>
      <c r="BH288" s="167"/>
      <c r="BI288" s="167"/>
      <c r="BJ288" s="167"/>
      <c r="BK288" s="167"/>
      <c r="BL288" s="167"/>
      <c r="BM288" s="167"/>
      <c r="BN288" s="167"/>
      <c r="BO288" s="167"/>
      <c r="BP288" s="167"/>
      <c r="BQ288" s="167"/>
      <c r="BR288" s="167"/>
      <c r="BS288" s="167"/>
      <c r="BT288" s="167"/>
      <c r="BU288" s="167"/>
      <c r="BW288" s="163" t="s">
        <v>450</v>
      </c>
      <c r="CH288" s="159"/>
      <c r="CI288" s="159"/>
      <c r="CJ288" s="159"/>
      <c r="CK288" s="159"/>
      <c r="CL288" s="159"/>
      <c r="CM288" s="159"/>
      <c r="CN288" s="159"/>
      <c r="CO288" s="159"/>
      <c r="CP288" s="159"/>
      <c r="CQ288" s="159"/>
      <c r="CR288" s="159"/>
      <c r="CS288" s="159"/>
      <c r="CT288" s="159"/>
      <c r="CU288" s="159"/>
      <c r="CV288" s="159"/>
      <c r="CW288" s="159"/>
      <c r="CX288" s="159"/>
      <c r="CY288" s="134"/>
    </row>
    <row r="289" spans="1:103" ht="12.75" customHeight="1" x14ac:dyDescent="0.3">
      <c r="A289" s="155"/>
      <c r="B289" s="134"/>
      <c r="C289" s="134"/>
      <c r="D289" s="134"/>
      <c r="E289" s="157"/>
      <c r="F289" s="157"/>
      <c r="G289" s="157"/>
      <c r="H289" s="157"/>
      <c r="I289" s="158"/>
      <c r="J289" s="159"/>
      <c r="K289" s="159"/>
      <c r="L289" s="159"/>
      <c r="M289" s="160"/>
      <c r="N289" s="160"/>
      <c r="O289" s="160"/>
      <c r="P289" s="158"/>
      <c r="Q289" s="158"/>
      <c r="R289" s="158"/>
      <c r="S289" s="158"/>
      <c r="T289" s="158"/>
      <c r="U289" s="158"/>
      <c r="V289" s="159"/>
      <c r="W289" s="159"/>
      <c r="X289" s="159"/>
      <c r="Y289" s="158"/>
      <c r="Z289" s="159"/>
      <c r="AA289" s="160"/>
      <c r="AB289" s="160"/>
      <c r="AC289" s="160"/>
      <c r="AD289" s="160"/>
      <c r="AE289" s="160"/>
      <c r="AF289" s="159"/>
      <c r="AG289" s="159"/>
      <c r="AH289" s="159"/>
      <c r="AI289" s="159"/>
      <c r="AJ289" s="159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67"/>
      <c r="AU289" s="167"/>
      <c r="AV289" s="167"/>
      <c r="AW289" s="167"/>
      <c r="AX289" s="167"/>
      <c r="AY289" s="167"/>
      <c r="AZ289" s="167"/>
      <c r="BA289" s="167"/>
      <c r="BB289" s="167"/>
      <c r="BC289" s="167"/>
      <c r="BD289" s="167"/>
      <c r="BE289" s="167"/>
      <c r="BF289" s="167"/>
      <c r="BG289" s="167"/>
      <c r="BH289" s="167"/>
      <c r="BI289" s="167"/>
      <c r="BJ289" s="167"/>
      <c r="BK289" s="167"/>
      <c r="BL289" s="167"/>
      <c r="BM289" s="167"/>
      <c r="BN289" s="167"/>
      <c r="BO289" s="167"/>
      <c r="BP289" s="167"/>
      <c r="BQ289" s="167"/>
      <c r="BR289" s="167"/>
      <c r="BS289" s="167"/>
      <c r="BT289" s="167"/>
      <c r="BU289" s="167"/>
      <c r="BW289" s="163" t="s">
        <v>479</v>
      </c>
      <c r="CH289" s="159"/>
      <c r="CI289" s="159"/>
      <c r="CJ289" s="159"/>
      <c r="CK289" s="159"/>
      <c r="CL289" s="159"/>
      <c r="CM289" s="159"/>
      <c r="CN289" s="159"/>
      <c r="CO289" s="159"/>
      <c r="CP289" s="159"/>
      <c r="CQ289" s="159"/>
      <c r="CR289" s="159"/>
      <c r="CS289" s="159"/>
      <c r="CT289" s="159"/>
      <c r="CU289" s="159"/>
      <c r="CV289" s="159"/>
      <c r="CW289" s="159"/>
      <c r="CX289" s="159"/>
      <c r="CY289" s="134"/>
    </row>
    <row r="290" spans="1:103" ht="12.75" customHeight="1" x14ac:dyDescent="0.3">
      <c r="A290" s="155"/>
      <c r="B290" s="134"/>
      <c r="C290" s="134"/>
      <c r="D290" s="134"/>
      <c r="E290" s="157"/>
      <c r="F290" s="157"/>
      <c r="G290" s="157"/>
      <c r="H290" s="157"/>
      <c r="I290" s="158"/>
      <c r="J290" s="159"/>
      <c r="K290" s="159"/>
      <c r="L290" s="159"/>
      <c r="M290" s="160"/>
      <c r="N290" s="160"/>
      <c r="O290" s="160"/>
      <c r="P290" s="158"/>
      <c r="Q290" s="158"/>
      <c r="R290" s="158"/>
      <c r="S290" s="158"/>
      <c r="T290" s="158"/>
      <c r="U290" s="158"/>
      <c r="V290" s="159"/>
      <c r="W290" s="159"/>
      <c r="X290" s="159"/>
      <c r="Y290" s="158"/>
      <c r="Z290" s="159"/>
      <c r="AA290" s="160"/>
      <c r="AB290" s="160"/>
      <c r="AC290" s="160"/>
      <c r="AD290" s="160"/>
      <c r="AE290" s="160"/>
      <c r="AF290" s="159"/>
      <c r="AG290" s="159"/>
      <c r="AH290" s="159"/>
      <c r="AI290" s="159"/>
      <c r="AJ290" s="159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67"/>
      <c r="AU290" s="167"/>
      <c r="AV290" s="167"/>
      <c r="AW290" s="167"/>
      <c r="AX290" s="167"/>
      <c r="AY290" s="167"/>
      <c r="AZ290" s="167"/>
      <c r="BA290" s="167"/>
      <c r="BB290" s="167"/>
      <c r="BC290" s="167"/>
      <c r="BD290" s="167"/>
      <c r="BE290" s="167"/>
      <c r="BF290" s="167"/>
      <c r="BG290" s="167"/>
      <c r="BH290" s="167"/>
      <c r="BI290" s="167"/>
      <c r="BJ290" s="167"/>
      <c r="BK290" s="167"/>
      <c r="BL290" s="167"/>
      <c r="BM290" s="167"/>
      <c r="BN290" s="167"/>
      <c r="BO290" s="167"/>
      <c r="BP290" s="167"/>
      <c r="BQ290" s="167"/>
      <c r="BR290" s="167"/>
      <c r="BS290" s="167"/>
      <c r="BT290" s="167"/>
      <c r="BU290" s="167"/>
      <c r="BW290" s="163" t="s">
        <v>195</v>
      </c>
      <c r="CH290" s="159"/>
      <c r="CI290" s="159"/>
      <c r="CJ290" s="159"/>
      <c r="CK290" s="159"/>
      <c r="CL290" s="159"/>
      <c r="CM290" s="159"/>
      <c r="CN290" s="159"/>
      <c r="CO290" s="159"/>
      <c r="CP290" s="159"/>
      <c r="CQ290" s="159"/>
      <c r="CR290" s="159"/>
      <c r="CS290" s="159"/>
      <c r="CT290" s="159"/>
      <c r="CU290" s="159"/>
      <c r="CV290" s="159"/>
      <c r="CW290" s="159"/>
      <c r="CX290" s="159"/>
      <c r="CY290" s="134"/>
    </row>
    <row r="291" spans="1:103" ht="12.75" customHeight="1" x14ac:dyDescent="0.3">
      <c r="A291" s="155"/>
      <c r="B291" s="134"/>
      <c r="C291" s="134"/>
      <c r="D291" s="134"/>
      <c r="E291" s="157"/>
      <c r="F291" s="157"/>
      <c r="G291" s="157"/>
      <c r="H291" s="157"/>
      <c r="I291" s="158"/>
      <c r="J291" s="159"/>
      <c r="K291" s="159"/>
      <c r="L291" s="159"/>
      <c r="M291" s="160"/>
      <c r="N291" s="160"/>
      <c r="O291" s="160"/>
      <c r="P291" s="158"/>
      <c r="Q291" s="158"/>
      <c r="R291" s="158"/>
      <c r="S291" s="158"/>
      <c r="T291" s="158"/>
      <c r="U291" s="158"/>
      <c r="V291" s="159"/>
      <c r="W291" s="159"/>
      <c r="X291" s="159"/>
      <c r="Y291" s="158"/>
      <c r="Z291" s="159"/>
      <c r="AA291" s="160"/>
      <c r="AB291" s="160"/>
      <c r="AC291" s="160"/>
      <c r="AD291" s="160"/>
      <c r="AE291" s="160"/>
      <c r="AF291" s="159"/>
      <c r="AG291" s="159"/>
      <c r="AH291" s="159"/>
      <c r="AI291" s="159"/>
      <c r="AJ291" s="159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67"/>
      <c r="AU291" s="167"/>
      <c r="AV291" s="167"/>
      <c r="AW291" s="167"/>
      <c r="AX291" s="167"/>
      <c r="AY291" s="167"/>
      <c r="AZ291" s="167"/>
      <c r="BA291" s="167"/>
      <c r="BB291" s="167"/>
      <c r="BC291" s="167"/>
      <c r="BD291" s="167"/>
      <c r="BE291" s="167"/>
      <c r="BF291" s="167"/>
      <c r="BG291" s="167"/>
      <c r="BH291" s="167"/>
      <c r="BI291" s="167"/>
      <c r="BJ291" s="167"/>
      <c r="BK291" s="167"/>
      <c r="BL291" s="167"/>
      <c r="BM291" s="167"/>
      <c r="BN291" s="167"/>
      <c r="BO291" s="167"/>
      <c r="BP291" s="167"/>
      <c r="BQ291" s="167"/>
      <c r="BR291" s="167"/>
      <c r="BS291" s="167"/>
      <c r="BT291" s="167"/>
      <c r="BU291" s="167"/>
      <c r="BW291" s="163" t="s">
        <v>480</v>
      </c>
      <c r="CH291" s="159"/>
      <c r="CI291" s="159"/>
      <c r="CJ291" s="159"/>
      <c r="CK291" s="159"/>
      <c r="CL291" s="159"/>
      <c r="CM291" s="159"/>
      <c r="CN291" s="159"/>
      <c r="CO291" s="159"/>
      <c r="CP291" s="159"/>
      <c r="CQ291" s="159"/>
      <c r="CR291" s="159"/>
      <c r="CS291" s="159"/>
      <c r="CT291" s="159"/>
      <c r="CU291" s="159"/>
      <c r="CV291" s="159"/>
      <c r="CW291" s="159"/>
      <c r="CX291" s="159"/>
      <c r="CY291" s="134"/>
    </row>
    <row r="292" spans="1:103" ht="12.75" customHeight="1" x14ac:dyDescent="0.3">
      <c r="A292" s="155"/>
      <c r="B292" s="134"/>
      <c r="C292" s="134"/>
      <c r="D292" s="134"/>
      <c r="E292" s="157"/>
      <c r="F292" s="157"/>
      <c r="G292" s="157"/>
      <c r="H292" s="157"/>
      <c r="I292" s="158"/>
      <c r="J292" s="159"/>
      <c r="K292" s="159"/>
      <c r="L292" s="159"/>
      <c r="M292" s="160"/>
      <c r="N292" s="160"/>
      <c r="O292" s="160"/>
      <c r="P292" s="158"/>
      <c r="Q292" s="158"/>
      <c r="R292" s="158"/>
      <c r="S292" s="158"/>
      <c r="T292" s="158"/>
      <c r="U292" s="158"/>
      <c r="V292" s="159"/>
      <c r="W292" s="159"/>
      <c r="X292" s="159"/>
      <c r="Y292" s="158"/>
      <c r="Z292" s="159"/>
      <c r="AA292" s="160"/>
      <c r="AB292" s="160"/>
      <c r="AC292" s="160"/>
      <c r="AD292" s="160"/>
      <c r="AE292" s="160"/>
      <c r="AF292" s="159"/>
      <c r="AG292" s="159"/>
      <c r="AH292" s="159"/>
      <c r="AI292" s="159"/>
      <c r="AJ292" s="159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67"/>
      <c r="AU292" s="167"/>
      <c r="AV292" s="167"/>
      <c r="AW292" s="167"/>
      <c r="AX292" s="167"/>
      <c r="AY292" s="167"/>
      <c r="AZ292" s="167"/>
      <c r="BA292" s="167"/>
      <c r="BB292" s="167"/>
      <c r="BC292" s="167"/>
      <c r="BD292" s="167"/>
      <c r="BE292" s="167"/>
      <c r="BF292" s="167"/>
      <c r="BG292" s="167"/>
      <c r="BH292" s="167"/>
      <c r="BI292" s="167"/>
      <c r="BJ292" s="167"/>
      <c r="BK292" s="167"/>
      <c r="BL292" s="167"/>
      <c r="BM292" s="167"/>
      <c r="BN292" s="167"/>
      <c r="BO292" s="167"/>
      <c r="BP292" s="167"/>
      <c r="BQ292" s="167"/>
      <c r="BR292" s="167"/>
      <c r="BS292" s="167"/>
      <c r="BT292" s="167"/>
      <c r="BU292" s="167"/>
      <c r="BW292" s="163" t="s">
        <v>481</v>
      </c>
      <c r="CH292" s="159"/>
      <c r="CI292" s="159"/>
      <c r="CJ292" s="159"/>
      <c r="CK292" s="159"/>
      <c r="CL292" s="159"/>
      <c r="CM292" s="159"/>
      <c r="CN292" s="159"/>
      <c r="CO292" s="159"/>
      <c r="CP292" s="159"/>
      <c r="CQ292" s="159"/>
      <c r="CR292" s="159"/>
      <c r="CS292" s="159"/>
      <c r="CT292" s="159"/>
      <c r="CU292" s="159"/>
      <c r="CV292" s="159"/>
      <c r="CW292" s="159"/>
      <c r="CX292" s="159"/>
      <c r="CY292" s="134"/>
    </row>
    <row r="293" spans="1:103" ht="12.75" customHeight="1" x14ac:dyDescent="0.3">
      <c r="A293" s="155"/>
      <c r="B293" s="134"/>
      <c r="C293" s="134"/>
      <c r="D293" s="134"/>
      <c r="E293" s="157"/>
      <c r="F293" s="157"/>
      <c r="G293" s="157"/>
      <c r="H293" s="157"/>
      <c r="I293" s="158"/>
      <c r="J293" s="159"/>
      <c r="K293" s="159"/>
      <c r="L293" s="159"/>
      <c r="M293" s="160"/>
      <c r="N293" s="160"/>
      <c r="O293" s="160"/>
      <c r="P293" s="158"/>
      <c r="Q293" s="158"/>
      <c r="R293" s="158"/>
      <c r="S293" s="158"/>
      <c r="T293" s="158"/>
      <c r="U293" s="158"/>
      <c r="V293" s="159"/>
      <c r="W293" s="159"/>
      <c r="X293" s="159"/>
      <c r="Y293" s="158"/>
      <c r="Z293" s="159"/>
      <c r="AA293" s="160"/>
      <c r="AB293" s="160"/>
      <c r="AC293" s="160"/>
      <c r="AD293" s="160"/>
      <c r="AE293" s="160"/>
      <c r="AF293" s="159"/>
      <c r="AG293" s="159"/>
      <c r="AH293" s="159"/>
      <c r="AI293" s="159"/>
      <c r="AJ293" s="159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67"/>
      <c r="AU293" s="167"/>
      <c r="AV293" s="167"/>
      <c r="AW293" s="167"/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7"/>
      <c r="BI293" s="167"/>
      <c r="BJ293" s="167"/>
      <c r="BK293" s="167"/>
      <c r="BL293" s="167"/>
      <c r="BM293" s="167"/>
      <c r="BN293" s="167"/>
      <c r="BO293" s="167"/>
      <c r="BP293" s="167"/>
      <c r="BQ293" s="167"/>
      <c r="BR293" s="167"/>
      <c r="BS293" s="167"/>
      <c r="BT293" s="167"/>
      <c r="BU293" s="167"/>
      <c r="BW293" s="163" t="s">
        <v>452</v>
      </c>
      <c r="CH293" s="159"/>
      <c r="CI293" s="159"/>
      <c r="CJ293" s="159"/>
      <c r="CK293" s="159"/>
      <c r="CL293" s="159"/>
      <c r="CM293" s="159"/>
      <c r="CN293" s="159"/>
      <c r="CO293" s="159"/>
      <c r="CP293" s="159"/>
      <c r="CQ293" s="159"/>
      <c r="CR293" s="159"/>
      <c r="CS293" s="159"/>
      <c r="CT293" s="159"/>
      <c r="CU293" s="159"/>
      <c r="CV293" s="159"/>
      <c r="CW293" s="159"/>
      <c r="CX293" s="159"/>
      <c r="CY293" s="134"/>
    </row>
    <row r="294" spans="1:103" ht="12.75" customHeight="1" x14ac:dyDescent="0.3">
      <c r="A294" s="155"/>
      <c r="B294" s="134"/>
      <c r="C294" s="134"/>
      <c r="D294" s="134"/>
      <c r="E294" s="157"/>
      <c r="F294" s="157"/>
      <c r="G294" s="157"/>
      <c r="H294" s="157"/>
      <c r="I294" s="158"/>
      <c r="J294" s="159"/>
      <c r="K294" s="159"/>
      <c r="L294" s="159"/>
      <c r="M294" s="160"/>
      <c r="N294" s="160"/>
      <c r="O294" s="160"/>
      <c r="P294" s="158"/>
      <c r="Q294" s="158"/>
      <c r="R294" s="158"/>
      <c r="S294" s="158"/>
      <c r="T294" s="158"/>
      <c r="U294" s="158"/>
      <c r="V294" s="159"/>
      <c r="W294" s="159"/>
      <c r="X294" s="159"/>
      <c r="Y294" s="158"/>
      <c r="Z294" s="159"/>
      <c r="AA294" s="160"/>
      <c r="AB294" s="160"/>
      <c r="AC294" s="160"/>
      <c r="AD294" s="160"/>
      <c r="AE294" s="160"/>
      <c r="AF294" s="159"/>
      <c r="AG294" s="159"/>
      <c r="AH294" s="159"/>
      <c r="AI294" s="159"/>
      <c r="AJ294" s="159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67"/>
      <c r="AU294" s="167"/>
      <c r="AV294" s="167"/>
      <c r="AW294" s="167"/>
      <c r="AX294" s="167"/>
      <c r="AY294" s="167"/>
      <c r="AZ294" s="167"/>
      <c r="BA294" s="167"/>
      <c r="BB294" s="167"/>
      <c r="BC294" s="167"/>
      <c r="BD294" s="167"/>
      <c r="BE294" s="167"/>
      <c r="BF294" s="167"/>
      <c r="BG294" s="167"/>
      <c r="BH294" s="167"/>
      <c r="BI294" s="167"/>
      <c r="BJ294" s="167"/>
      <c r="BK294" s="167"/>
      <c r="BL294" s="167"/>
      <c r="BM294" s="167"/>
      <c r="BN294" s="167"/>
      <c r="BO294" s="167"/>
      <c r="BP294" s="167"/>
      <c r="BQ294" s="167"/>
      <c r="BR294" s="167"/>
      <c r="BS294" s="167"/>
      <c r="BT294" s="167"/>
      <c r="BU294" s="167"/>
      <c r="BW294" s="163" t="s">
        <v>482</v>
      </c>
      <c r="CH294" s="159"/>
      <c r="CI294" s="159"/>
      <c r="CJ294" s="159"/>
      <c r="CK294" s="159"/>
      <c r="CL294" s="159"/>
      <c r="CM294" s="159"/>
      <c r="CN294" s="159"/>
      <c r="CO294" s="159"/>
      <c r="CP294" s="159"/>
      <c r="CQ294" s="159"/>
      <c r="CR294" s="159"/>
      <c r="CS294" s="159"/>
      <c r="CT294" s="159"/>
      <c r="CU294" s="159"/>
      <c r="CV294" s="159"/>
      <c r="CW294" s="159"/>
      <c r="CX294" s="159"/>
      <c r="CY294" s="134"/>
    </row>
    <row r="295" spans="1:103" ht="12.75" customHeight="1" x14ac:dyDescent="0.3">
      <c r="A295" s="155"/>
      <c r="B295" s="134"/>
      <c r="C295" s="134"/>
      <c r="D295" s="134"/>
      <c r="E295" s="157"/>
      <c r="F295" s="157"/>
      <c r="G295" s="157"/>
      <c r="H295" s="157"/>
      <c r="I295" s="158"/>
      <c r="J295" s="159"/>
      <c r="K295" s="159"/>
      <c r="L295" s="159"/>
      <c r="M295" s="160"/>
      <c r="N295" s="160"/>
      <c r="O295" s="160"/>
      <c r="P295" s="158"/>
      <c r="Q295" s="158"/>
      <c r="R295" s="158"/>
      <c r="S295" s="158"/>
      <c r="T295" s="158"/>
      <c r="U295" s="158"/>
      <c r="V295" s="159"/>
      <c r="W295" s="159"/>
      <c r="X295" s="159"/>
      <c r="Y295" s="158"/>
      <c r="Z295" s="159"/>
      <c r="AA295" s="160"/>
      <c r="AB295" s="160"/>
      <c r="AC295" s="160"/>
      <c r="AD295" s="160"/>
      <c r="AE295" s="160"/>
      <c r="AF295" s="159"/>
      <c r="AG295" s="159"/>
      <c r="AH295" s="159"/>
      <c r="AI295" s="159"/>
      <c r="AJ295" s="159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67"/>
      <c r="AU295" s="167"/>
      <c r="AV295" s="167"/>
      <c r="AW295" s="167"/>
      <c r="AX295" s="167"/>
      <c r="AY295" s="167"/>
      <c r="AZ295" s="167"/>
      <c r="BA295" s="167"/>
      <c r="BB295" s="167"/>
      <c r="BC295" s="167"/>
      <c r="BD295" s="167"/>
      <c r="BE295" s="167"/>
      <c r="BF295" s="167"/>
      <c r="BG295" s="167"/>
      <c r="BH295" s="167"/>
      <c r="BI295" s="167"/>
      <c r="BJ295" s="167"/>
      <c r="BK295" s="167"/>
      <c r="BL295" s="167"/>
      <c r="BM295" s="167"/>
      <c r="BN295" s="167"/>
      <c r="BO295" s="167"/>
      <c r="BP295" s="167"/>
      <c r="BQ295" s="167"/>
      <c r="BR295" s="167"/>
      <c r="BS295" s="167"/>
      <c r="BT295" s="167"/>
      <c r="BU295" s="167"/>
      <c r="BW295" s="163" t="s">
        <v>483</v>
      </c>
      <c r="CH295" s="159"/>
      <c r="CI295" s="159"/>
      <c r="CJ295" s="159"/>
      <c r="CK295" s="159"/>
      <c r="CL295" s="159"/>
      <c r="CM295" s="159"/>
      <c r="CN295" s="159"/>
      <c r="CO295" s="159"/>
      <c r="CP295" s="159"/>
      <c r="CQ295" s="159"/>
      <c r="CR295" s="159"/>
      <c r="CS295" s="159"/>
      <c r="CT295" s="159"/>
      <c r="CU295" s="159"/>
      <c r="CV295" s="159"/>
      <c r="CW295" s="159"/>
      <c r="CX295" s="159"/>
      <c r="CY295" s="134"/>
    </row>
    <row r="296" spans="1:103" ht="12.75" customHeight="1" x14ac:dyDescent="0.3">
      <c r="A296" s="155"/>
      <c r="B296" s="134"/>
      <c r="C296" s="134"/>
      <c r="D296" s="134"/>
      <c r="E296" s="157"/>
      <c r="F296" s="157"/>
      <c r="G296" s="157"/>
      <c r="H296" s="157"/>
      <c r="I296" s="158"/>
      <c r="J296" s="159"/>
      <c r="K296" s="159"/>
      <c r="L296" s="159"/>
      <c r="M296" s="160"/>
      <c r="N296" s="160"/>
      <c r="O296" s="160"/>
      <c r="P296" s="158"/>
      <c r="Q296" s="158"/>
      <c r="R296" s="158"/>
      <c r="S296" s="158"/>
      <c r="T296" s="158"/>
      <c r="U296" s="158"/>
      <c r="V296" s="159"/>
      <c r="W296" s="159"/>
      <c r="X296" s="159"/>
      <c r="Y296" s="158"/>
      <c r="Z296" s="159"/>
      <c r="AA296" s="160"/>
      <c r="AB296" s="160"/>
      <c r="AC296" s="160"/>
      <c r="AD296" s="160"/>
      <c r="AE296" s="160"/>
      <c r="AF296" s="159"/>
      <c r="AG296" s="159"/>
      <c r="AH296" s="159"/>
      <c r="AI296" s="159"/>
      <c r="AJ296" s="159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67"/>
      <c r="AU296" s="167"/>
      <c r="AV296" s="167"/>
      <c r="AW296" s="167"/>
      <c r="AX296" s="167"/>
      <c r="AY296" s="167"/>
      <c r="AZ296" s="167"/>
      <c r="BA296" s="167"/>
      <c r="BB296" s="167"/>
      <c r="BC296" s="167"/>
      <c r="BD296" s="167"/>
      <c r="BE296" s="167"/>
      <c r="BF296" s="167"/>
      <c r="BG296" s="167"/>
      <c r="BH296" s="167"/>
      <c r="BI296" s="167"/>
      <c r="BJ296" s="167"/>
      <c r="BK296" s="167"/>
      <c r="BL296" s="167"/>
      <c r="BM296" s="167"/>
      <c r="BN296" s="167"/>
      <c r="BO296" s="167"/>
      <c r="BP296" s="167"/>
      <c r="BQ296" s="167"/>
      <c r="BR296" s="167"/>
      <c r="BS296" s="167"/>
      <c r="BT296" s="167"/>
      <c r="BU296" s="167"/>
      <c r="BW296" s="163" t="s">
        <v>484</v>
      </c>
      <c r="CH296" s="159"/>
      <c r="CI296" s="159"/>
      <c r="CJ296" s="159"/>
      <c r="CK296" s="159"/>
      <c r="CL296" s="159"/>
      <c r="CM296" s="159"/>
      <c r="CN296" s="159"/>
      <c r="CO296" s="159"/>
      <c r="CP296" s="159"/>
      <c r="CQ296" s="159"/>
      <c r="CR296" s="159"/>
      <c r="CS296" s="159"/>
      <c r="CT296" s="159"/>
      <c r="CU296" s="159"/>
      <c r="CV296" s="159"/>
      <c r="CW296" s="159"/>
      <c r="CX296" s="159"/>
      <c r="CY296" s="134"/>
    </row>
    <row r="297" spans="1:103" ht="12.75" customHeight="1" x14ac:dyDescent="0.3">
      <c r="A297" s="155"/>
      <c r="B297" s="134"/>
      <c r="C297" s="134"/>
      <c r="D297" s="134"/>
      <c r="E297" s="157"/>
      <c r="F297" s="157"/>
      <c r="G297" s="157"/>
      <c r="H297" s="157"/>
      <c r="I297" s="158"/>
      <c r="J297" s="159"/>
      <c r="K297" s="159"/>
      <c r="L297" s="159"/>
      <c r="M297" s="160"/>
      <c r="N297" s="160"/>
      <c r="O297" s="160"/>
      <c r="P297" s="158"/>
      <c r="Q297" s="158"/>
      <c r="R297" s="158"/>
      <c r="S297" s="158"/>
      <c r="T297" s="158"/>
      <c r="U297" s="158"/>
      <c r="V297" s="159"/>
      <c r="W297" s="159"/>
      <c r="X297" s="159"/>
      <c r="Y297" s="158"/>
      <c r="Z297" s="159"/>
      <c r="AA297" s="160"/>
      <c r="AB297" s="160"/>
      <c r="AC297" s="160"/>
      <c r="AD297" s="160"/>
      <c r="AE297" s="160"/>
      <c r="AF297" s="159"/>
      <c r="AG297" s="159"/>
      <c r="AH297" s="159"/>
      <c r="AI297" s="159"/>
      <c r="AJ297" s="159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67"/>
      <c r="AU297" s="167"/>
      <c r="AV297" s="167"/>
      <c r="AW297" s="167"/>
      <c r="AX297" s="167"/>
      <c r="AY297" s="167"/>
      <c r="AZ297" s="167"/>
      <c r="BA297" s="167"/>
      <c r="BB297" s="167"/>
      <c r="BC297" s="167"/>
      <c r="BD297" s="167"/>
      <c r="BE297" s="167"/>
      <c r="BF297" s="167"/>
      <c r="BG297" s="167"/>
      <c r="BH297" s="167"/>
      <c r="BI297" s="167"/>
      <c r="BJ297" s="167"/>
      <c r="BK297" s="167"/>
      <c r="BL297" s="167"/>
      <c r="BM297" s="167"/>
      <c r="BN297" s="167"/>
      <c r="BO297" s="167"/>
      <c r="BP297" s="167"/>
      <c r="BQ297" s="167"/>
      <c r="BR297" s="167"/>
      <c r="BS297" s="167"/>
      <c r="BT297" s="167"/>
      <c r="BU297" s="167"/>
      <c r="BW297" s="163" t="s">
        <v>485</v>
      </c>
      <c r="CH297" s="159"/>
      <c r="CI297" s="159"/>
      <c r="CJ297" s="159"/>
      <c r="CK297" s="159"/>
      <c r="CL297" s="159"/>
      <c r="CM297" s="159"/>
      <c r="CN297" s="159"/>
      <c r="CO297" s="159"/>
      <c r="CP297" s="159"/>
      <c r="CQ297" s="159"/>
      <c r="CR297" s="159"/>
      <c r="CS297" s="159"/>
      <c r="CT297" s="159"/>
      <c r="CU297" s="159"/>
      <c r="CV297" s="159"/>
      <c r="CW297" s="159"/>
      <c r="CX297" s="159"/>
      <c r="CY297" s="134"/>
    </row>
    <row r="298" spans="1:103" ht="12.75" customHeight="1" x14ac:dyDescent="0.3">
      <c r="A298" s="155"/>
      <c r="B298" s="134"/>
      <c r="C298" s="134"/>
      <c r="D298" s="134"/>
      <c r="E298" s="157"/>
      <c r="F298" s="157"/>
      <c r="G298" s="157"/>
      <c r="H298" s="157"/>
      <c r="I298" s="158"/>
      <c r="J298" s="159"/>
      <c r="K298" s="159"/>
      <c r="L298" s="159"/>
      <c r="M298" s="160"/>
      <c r="N298" s="160"/>
      <c r="O298" s="160"/>
      <c r="P298" s="158"/>
      <c r="Q298" s="158"/>
      <c r="R298" s="158"/>
      <c r="S298" s="158"/>
      <c r="T298" s="158"/>
      <c r="U298" s="158"/>
      <c r="V298" s="159"/>
      <c r="W298" s="159"/>
      <c r="X298" s="159"/>
      <c r="Y298" s="158"/>
      <c r="Z298" s="159"/>
      <c r="AA298" s="160"/>
      <c r="AB298" s="160"/>
      <c r="AC298" s="160"/>
      <c r="AD298" s="160"/>
      <c r="AE298" s="160"/>
      <c r="AF298" s="159"/>
      <c r="AG298" s="159"/>
      <c r="AH298" s="159"/>
      <c r="AI298" s="159"/>
      <c r="AJ298" s="159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67"/>
      <c r="AU298" s="167"/>
      <c r="AV298" s="167"/>
      <c r="AW298" s="167"/>
      <c r="AX298" s="167"/>
      <c r="AY298" s="167"/>
      <c r="AZ298" s="167"/>
      <c r="BA298" s="167"/>
      <c r="BB298" s="167"/>
      <c r="BC298" s="167"/>
      <c r="BD298" s="167"/>
      <c r="BE298" s="167"/>
      <c r="BF298" s="167"/>
      <c r="BG298" s="167"/>
      <c r="BH298" s="167"/>
      <c r="BI298" s="167"/>
      <c r="BJ298" s="167"/>
      <c r="BK298" s="167"/>
      <c r="BL298" s="167"/>
      <c r="BM298" s="167"/>
      <c r="BN298" s="167"/>
      <c r="BO298" s="167"/>
      <c r="BP298" s="167"/>
      <c r="BQ298" s="167"/>
      <c r="BR298" s="167"/>
      <c r="BS298" s="167"/>
      <c r="BT298" s="167"/>
      <c r="BU298" s="167"/>
      <c r="BW298" s="163" t="s">
        <v>486</v>
      </c>
      <c r="CH298" s="159"/>
      <c r="CI298" s="159"/>
      <c r="CJ298" s="159"/>
      <c r="CK298" s="159"/>
      <c r="CL298" s="159"/>
      <c r="CM298" s="159"/>
      <c r="CN298" s="159"/>
      <c r="CO298" s="159"/>
      <c r="CP298" s="159"/>
      <c r="CQ298" s="159"/>
      <c r="CR298" s="159"/>
      <c r="CS298" s="159"/>
      <c r="CT298" s="159"/>
      <c r="CU298" s="159"/>
      <c r="CV298" s="159"/>
      <c r="CW298" s="159"/>
      <c r="CX298" s="159"/>
      <c r="CY298" s="134"/>
    </row>
    <row r="299" spans="1:103" ht="12.75" customHeight="1" x14ac:dyDescent="0.3">
      <c r="A299" s="155"/>
      <c r="B299" s="134"/>
      <c r="C299" s="134"/>
      <c r="D299" s="134"/>
      <c r="E299" s="157"/>
      <c r="F299" s="157"/>
      <c r="G299" s="157"/>
      <c r="H299" s="157"/>
      <c r="I299" s="158"/>
      <c r="J299" s="159"/>
      <c r="K299" s="159"/>
      <c r="L299" s="159"/>
      <c r="M299" s="160"/>
      <c r="N299" s="160"/>
      <c r="O299" s="160"/>
      <c r="P299" s="158"/>
      <c r="Q299" s="158"/>
      <c r="R299" s="158"/>
      <c r="S299" s="158"/>
      <c r="T299" s="158"/>
      <c r="U299" s="158"/>
      <c r="V299" s="159"/>
      <c r="W299" s="159"/>
      <c r="X299" s="159"/>
      <c r="Y299" s="158"/>
      <c r="Z299" s="159"/>
      <c r="AA299" s="160"/>
      <c r="AB299" s="160"/>
      <c r="AC299" s="160"/>
      <c r="AD299" s="160"/>
      <c r="AE299" s="160"/>
      <c r="AF299" s="159"/>
      <c r="AG299" s="159"/>
      <c r="AH299" s="159"/>
      <c r="AI299" s="159"/>
      <c r="AJ299" s="159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67"/>
      <c r="AU299" s="167"/>
      <c r="AV299" s="167"/>
      <c r="AW299" s="167"/>
      <c r="AX299" s="167"/>
      <c r="AY299" s="167"/>
      <c r="AZ299" s="167"/>
      <c r="BA299" s="167"/>
      <c r="BB299" s="167"/>
      <c r="BC299" s="167"/>
      <c r="BD299" s="167"/>
      <c r="BE299" s="167"/>
      <c r="BF299" s="167"/>
      <c r="BG299" s="167"/>
      <c r="BH299" s="167"/>
      <c r="BI299" s="167"/>
      <c r="BJ299" s="167"/>
      <c r="BK299" s="167"/>
      <c r="BL299" s="167"/>
      <c r="BM299" s="167"/>
      <c r="BN299" s="167"/>
      <c r="BO299" s="167"/>
      <c r="BP299" s="167"/>
      <c r="BQ299" s="167"/>
      <c r="BR299" s="167"/>
      <c r="BS299" s="167"/>
      <c r="BT299" s="167"/>
      <c r="BU299" s="167"/>
      <c r="BW299" s="163" t="s">
        <v>487</v>
      </c>
      <c r="CH299" s="159"/>
      <c r="CI299" s="159"/>
      <c r="CJ299" s="159"/>
      <c r="CK299" s="159"/>
      <c r="CL299" s="159"/>
      <c r="CM299" s="159"/>
      <c r="CN299" s="159"/>
      <c r="CO299" s="159"/>
      <c r="CP299" s="159"/>
      <c r="CQ299" s="159"/>
      <c r="CR299" s="159"/>
      <c r="CS299" s="159"/>
      <c r="CT299" s="159"/>
      <c r="CU299" s="159"/>
      <c r="CV299" s="159"/>
      <c r="CW299" s="159"/>
      <c r="CX299" s="159"/>
      <c r="CY299" s="134"/>
    </row>
    <row r="300" spans="1:103" ht="12.75" customHeight="1" x14ac:dyDescent="0.3">
      <c r="A300" s="155"/>
      <c r="B300" s="134"/>
      <c r="C300" s="134"/>
      <c r="D300" s="134"/>
      <c r="E300" s="157"/>
      <c r="F300" s="157"/>
      <c r="G300" s="157"/>
      <c r="H300" s="157"/>
      <c r="I300" s="158"/>
      <c r="J300" s="159"/>
      <c r="K300" s="159"/>
      <c r="L300" s="159"/>
      <c r="M300" s="160"/>
      <c r="N300" s="160"/>
      <c r="O300" s="160"/>
      <c r="P300" s="158"/>
      <c r="Q300" s="158"/>
      <c r="R300" s="158"/>
      <c r="S300" s="158"/>
      <c r="T300" s="158"/>
      <c r="U300" s="158"/>
      <c r="V300" s="159"/>
      <c r="W300" s="159"/>
      <c r="X300" s="159"/>
      <c r="Y300" s="158"/>
      <c r="Z300" s="159"/>
      <c r="AA300" s="160"/>
      <c r="AB300" s="160"/>
      <c r="AC300" s="160"/>
      <c r="AD300" s="160"/>
      <c r="AE300" s="160"/>
      <c r="AF300" s="159"/>
      <c r="AG300" s="159"/>
      <c r="AH300" s="159"/>
      <c r="AI300" s="159"/>
      <c r="AJ300" s="159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67"/>
      <c r="AU300" s="167"/>
      <c r="AV300" s="167"/>
      <c r="AW300" s="167"/>
      <c r="AX300" s="167"/>
      <c r="AY300" s="167"/>
      <c r="AZ300" s="167"/>
      <c r="BA300" s="167"/>
      <c r="BB300" s="167"/>
      <c r="BC300" s="167"/>
      <c r="BD300" s="167"/>
      <c r="BE300" s="167"/>
      <c r="BF300" s="167"/>
      <c r="BG300" s="167"/>
      <c r="BH300" s="167"/>
      <c r="BI300" s="167"/>
      <c r="BJ300" s="167"/>
      <c r="BK300" s="167"/>
      <c r="BL300" s="167"/>
      <c r="BM300" s="167"/>
      <c r="BN300" s="167"/>
      <c r="BO300" s="167"/>
      <c r="BP300" s="167"/>
      <c r="BQ300" s="167"/>
      <c r="BR300" s="167"/>
      <c r="BS300" s="167"/>
      <c r="BT300" s="167"/>
      <c r="BU300" s="167"/>
      <c r="BW300" s="163" t="s">
        <v>488</v>
      </c>
      <c r="CH300" s="159"/>
      <c r="CI300" s="159"/>
      <c r="CJ300" s="159"/>
      <c r="CK300" s="159"/>
      <c r="CL300" s="159"/>
      <c r="CM300" s="159"/>
      <c r="CN300" s="159"/>
      <c r="CO300" s="159"/>
      <c r="CP300" s="159"/>
      <c r="CQ300" s="159"/>
      <c r="CR300" s="159"/>
      <c r="CS300" s="159"/>
      <c r="CT300" s="159"/>
      <c r="CU300" s="159"/>
      <c r="CV300" s="159"/>
      <c r="CW300" s="159"/>
      <c r="CX300" s="159"/>
      <c r="CY300" s="134"/>
    </row>
    <row r="301" spans="1:103" ht="12.75" customHeight="1" x14ac:dyDescent="0.3">
      <c r="A301" s="155"/>
      <c r="B301" s="134"/>
      <c r="C301" s="134"/>
      <c r="D301" s="134"/>
      <c r="E301" s="157"/>
      <c r="F301" s="157"/>
      <c r="G301" s="157"/>
      <c r="H301" s="157"/>
      <c r="I301" s="158"/>
      <c r="J301" s="159"/>
      <c r="K301" s="159"/>
      <c r="L301" s="159"/>
      <c r="M301" s="160"/>
      <c r="N301" s="160"/>
      <c r="O301" s="160"/>
      <c r="P301" s="158"/>
      <c r="Q301" s="158"/>
      <c r="R301" s="158"/>
      <c r="S301" s="158"/>
      <c r="T301" s="158"/>
      <c r="U301" s="158"/>
      <c r="V301" s="159"/>
      <c r="W301" s="159"/>
      <c r="X301" s="159"/>
      <c r="Y301" s="158"/>
      <c r="Z301" s="159"/>
      <c r="AA301" s="160"/>
      <c r="AB301" s="160"/>
      <c r="AC301" s="160"/>
      <c r="AD301" s="160"/>
      <c r="AE301" s="160"/>
      <c r="AF301" s="159"/>
      <c r="AG301" s="159"/>
      <c r="AH301" s="159"/>
      <c r="AI301" s="159"/>
      <c r="AJ301" s="159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67"/>
      <c r="AU301" s="167"/>
      <c r="AV301" s="167"/>
      <c r="AW301" s="167"/>
      <c r="AX301" s="167"/>
      <c r="AY301" s="167"/>
      <c r="AZ301" s="167"/>
      <c r="BA301" s="167"/>
      <c r="BB301" s="167"/>
      <c r="BC301" s="167"/>
      <c r="BD301" s="167"/>
      <c r="BE301" s="167"/>
      <c r="BF301" s="167"/>
      <c r="BG301" s="167"/>
      <c r="BH301" s="167"/>
      <c r="BI301" s="167"/>
      <c r="BJ301" s="167"/>
      <c r="BK301" s="167"/>
      <c r="BL301" s="167"/>
      <c r="BM301" s="167"/>
      <c r="BN301" s="167"/>
      <c r="BO301" s="167"/>
      <c r="BP301" s="167"/>
      <c r="BQ301" s="167"/>
      <c r="BR301" s="167"/>
      <c r="BS301" s="167"/>
      <c r="BT301" s="167"/>
      <c r="BU301" s="167"/>
      <c r="BW301" s="163" t="s">
        <v>489</v>
      </c>
      <c r="CH301" s="159"/>
      <c r="CI301" s="159"/>
      <c r="CJ301" s="159"/>
      <c r="CK301" s="159"/>
      <c r="CL301" s="159"/>
      <c r="CM301" s="159"/>
      <c r="CN301" s="159"/>
      <c r="CO301" s="159"/>
      <c r="CP301" s="159"/>
      <c r="CQ301" s="159"/>
      <c r="CR301" s="159"/>
      <c r="CS301" s="159"/>
      <c r="CT301" s="159"/>
      <c r="CU301" s="159"/>
      <c r="CV301" s="159"/>
      <c r="CW301" s="159"/>
      <c r="CX301" s="159"/>
      <c r="CY301" s="134"/>
    </row>
    <row r="302" spans="1:103" ht="12.75" customHeight="1" x14ac:dyDescent="0.3">
      <c r="A302" s="155"/>
      <c r="B302" s="134"/>
      <c r="C302" s="134"/>
      <c r="D302" s="134"/>
      <c r="E302" s="157"/>
      <c r="F302" s="157"/>
      <c r="G302" s="157"/>
      <c r="H302" s="157"/>
      <c r="I302" s="158"/>
      <c r="J302" s="159"/>
      <c r="K302" s="159"/>
      <c r="L302" s="159"/>
      <c r="M302" s="160"/>
      <c r="N302" s="160"/>
      <c r="O302" s="160"/>
      <c r="P302" s="158"/>
      <c r="Q302" s="158"/>
      <c r="R302" s="158"/>
      <c r="S302" s="158"/>
      <c r="T302" s="158"/>
      <c r="U302" s="158"/>
      <c r="V302" s="159"/>
      <c r="W302" s="159"/>
      <c r="X302" s="159"/>
      <c r="Y302" s="158"/>
      <c r="Z302" s="159"/>
      <c r="AA302" s="160"/>
      <c r="AB302" s="160"/>
      <c r="AC302" s="160"/>
      <c r="AD302" s="160"/>
      <c r="AE302" s="160"/>
      <c r="AF302" s="159"/>
      <c r="AG302" s="159"/>
      <c r="AH302" s="159"/>
      <c r="AI302" s="159"/>
      <c r="AJ302" s="159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67"/>
      <c r="AU302" s="167"/>
      <c r="AV302" s="167"/>
      <c r="AW302" s="167"/>
      <c r="AX302" s="167"/>
      <c r="AY302" s="167"/>
      <c r="AZ302" s="167"/>
      <c r="BA302" s="167"/>
      <c r="BB302" s="167"/>
      <c r="BC302" s="167"/>
      <c r="BD302" s="167"/>
      <c r="BE302" s="167"/>
      <c r="BF302" s="167"/>
      <c r="BG302" s="167"/>
      <c r="BH302" s="167"/>
      <c r="BI302" s="167"/>
      <c r="BJ302" s="167"/>
      <c r="BK302" s="167"/>
      <c r="BL302" s="167"/>
      <c r="BM302" s="167"/>
      <c r="BN302" s="167"/>
      <c r="BO302" s="167"/>
      <c r="BP302" s="167"/>
      <c r="BQ302" s="167"/>
      <c r="BR302" s="167"/>
      <c r="BS302" s="167"/>
      <c r="BT302" s="167"/>
      <c r="BU302" s="167"/>
      <c r="BW302" s="163" t="s">
        <v>490</v>
      </c>
      <c r="CH302" s="159"/>
      <c r="CI302" s="159"/>
      <c r="CJ302" s="159"/>
      <c r="CK302" s="159"/>
      <c r="CL302" s="159"/>
      <c r="CM302" s="159"/>
      <c r="CN302" s="159"/>
      <c r="CO302" s="159"/>
      <c r="CP302" s="159"/>
      <c r="CQ302" s="159"/>
      <c r="CR302" s="159"/>
      <c r="CS302" s="159"/>
      <c r="CT302" s="159"/>
      <c r="CU302" s="159"/>
      <c r="CV302" s="159"/>
      <c r="CW302" s="159"/>
      <c r="CX302" s="159"/>
      <c r="CY302" s="134"/>
    </row>
    <row r="303" spans="1:103" ht="12.75" customHeight="1" x14ac:dyDescent="0.3">
      <c r="A303" s="155"/>
      <c r="B303" s="134"/>
      <c r="C303" s="134"/>
      <c r="D303" s="134"/>
      <c r="E303" s="157"/>
      <c r="F303" s="157"/>
      <c r="G303" s="157"/>
      <c r="H303" s="157"/>
      <c r="I303" s="158"/>
      <c r="J303" s="159"/>
      <c r="K303" s="159"/>
      <c r="L303" s="159"/>
      <c r="M303" s="160"/>
      <c r="N303" s="160"/>
      <c r="O303" s="160"/>
      <c r="P303" s="158"/>
      <c r="Q303" s="158"/>
      <c r="R303" s="158"/>
      <c r="S303" s="158"/>
      <c r="T303" s="158"/>
      <c r="U303" s="158"/>
      <c r="V303" s="159"/>
      <c r="W303" s="159"/>
      <c r="X303" s="159"/>
      <c r="Y303" s="158"/>
      <c r="Z303" s="159"/>
      <c r="AA303" s="160"/>
      <c r="AB303" s="160"/>
      <c r="AC303" s="160"/>
      <c r="AD303" s="160"/>
      <c r="AE303" s="160"/>
      <c r="AF303" s="159"/>
      <c r="AG303" s="159"/>
      <c r="AH303" s="159"/>
      <c r="AI303" s="159"/>
      <c r="AJ303" s="159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67"/>
      <c r="AU303" s="167"/>
      <c r="AV303" s="167"/>
      <c r="AW303" s="167"/>
      <c r="AX303" s="167"/>
      <c r="AY303" s="167"/>
      <c r="AZ303" s="167"/>
      <c r="BA303" s="167"/>
      <c r="BB303" s="167"/>
      <c r="BC303" s="167"/>
      <c r="BD303" s="167"/>
      <c r="BE303" s="167"/>
      <c r="BF303" s="167"/>
      <c r="BG303" s="167"/>
      <c r="BH303" s="167"/>
      <c r="BI303" s="167"/>
      <c r="BJ303" s="167"/>
      <c r="BK303" s="167"/>
      <c r="BL303" s="167"/>
      <c r="BM303" s="167"/>
      <c r="BN303" s="167"/>
      <c r="BO303" s="167"/>
      <c r="BP303" s="167"/>
      <c r="BQ303" s="167"/>
      <c r="BR303" s="167"/>
      <c r="BS303" s="167"/>
      <c r="BT303" s="167"/>
      <c r="BU303" s="167"/>
      <c r="BW303" s="163" t="s">
        <v>491</v>
      </c>
      <c r="CH303" s="159"/>
      <c r="CI303" s="159"/>
      <c r="CJ303" s="159"/>
      <c r="CK303" s="159"/>
      <c r="CL303" s="159"/>
      <c r="CM303" s="159"/>
      <c r="CN303" s="159"/>
      <c r="CO303" s="159"/>
      <c r="CP303" s="159"/>
      <c r="CQ303" s="159"/>
      <c r="CR303" s="159"/>
      <c r="CS303" s="159"/>
      <c r="CT303" s="159"/>
      <c r="CU303" s="159"/>
      <c r="CV303" s="159"/>
      <c r="CW303" s="159"/>
      <c r="CX303" s="159"/>
      <c r="CY303" s="134"/>
    </row>
    <row r="304" spans="1:103" ht="12.75" customHeight="1" x14ac:dyDescent="0.3">
      <c r="A304" s="155"/>
      <c r="B304" s="134"/>
      <c r="C304" s="134"/>
      <c r="D304" s="134"/>
      <c r="E304" s="157"/>
      <c r="F304" s="157"/>
      <c r="G304" s="157"/>
      <c r="H304" s="157"/>
      <c r="I304" s="158"/>
      <c r="J304" s="159"/>
      <c r="K304" s="159"/>
      <c r="L304" s="159"/>
      <c r="M304" s="160"/>
      <c r="N304" s="160"/>
      <c r="O304" s="160"/>
      <c r="P304" s="158"/>
      <c r="Q304" s="158"/>
      <c r="R304" s="158"/>
      <c r="S304" s="158"/>
      <c r="T304" s="158"/>
      <c r="U304" s="158"/>
      <c r="V304" s="159"/>
      <c r="W304" s="159"/>
      <c r="X304" s="159"/>
      <c r="Y304" s="158"/>
      <c r="Z304" s="159"/>
      <c r="AA304" s="160"/>
      <c r="AB304" s="160"/>
      <c r="AC304" s="160"/>
      <c r="AD304" s="160"/>
      <c r="AE304" s="160"/>
      <c r="AF304" s="159"/>
      <c r="AG304" s="159"/>
      <c r="AH304" s="159"/>
      <c r="AI304" s="159"/>
      <c r="AJ304" s="159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67"/>
      <c r="AU304" s="167"/>
      <c r="AV304" s="167"/>
      <c r="AW304" s="167"/>
      <c r="AX304" s="167"/>
      <c r="AY304" s="167"/>
      <c r="AZ304" s="167"/>
      <c r="BA304" s="167"/>
      <c r="BB304" s="167"/>
      <c r="BC304" s="167"/>
      <c r="BD304" s="167"/>
      <c r="BE304" s="167"/>
      <c r="BF304" s="167"/>
      <c r="BG304" s="167"/>
      <c r="BH304" s="167"/>
      <c r="BI304" s="167"/>
      <c r="BJ304" s="167"/>
      <c r="BK304" s="167"/>
      <c r="BL304" s="167"/>
      <c r="BM304" s="167"/>
      <c r="BN304" s="167"/>
      <c r="BO304" s="167"/>
      <c r="BP304" s="167"/>
      <c r="BQ304" s="167"/>
      <c r="BR304" s="167"/>
      <c r="BS304" s="167"/>
      <c r="BT304" s="167"/>
      <c r="BU304" s="167"/>
      <c r="BW304" s="163" t="s">
        <v>453</v>
      </c>
      <c r="CH304" s="159"/>
      <c r="CI304" s="159"/>
      <c r="CJ304" s="159"/>
      <c r="CK304" s="159"/>
      <c r="CL304" s="159"/>
      <c r="CM304" s="159"/>
      <c r="CN304" s="159"/>
      <c r="CO304" s="159"/>
      <c r="CP304" s="159"/>
      <c r="CQ304" s="159"/>
      <c r="CR304" s="159"/>
      <c r="CS304" s="159"/>
      <c r="CT304" s="159"/>
      <c r="CU304" s="159"/>
      <c r="CV304" s="159"/>
      <c r="CW304" s="159"/>
      <c r="CX304" s="159"/>
      <c r="CY304" s="134"/>
    </row>
    <row r="305" spans="1:103" ht="12.75" customHeight="1" x14ac:dyDescent="0.3">
      <c r="A305" s="155"/>
      <c r="B305" s="134"/>
      <c r="C305" s="134"/>
      <c r="D305" s="134"/>
      <c r="E305" s="157"/>
      <c r="F305" s="157"/>
      <c r="G305" s="157"/>
      <c r="H305" s="157"/>
      <c r="I305" s="158"/>
      <c r="J305" s="159"/>
      <c r="K305" s="159"/>
      <c r="L305" s="159"/>
      <c r="M305" s="160"/>
      <c r="N305" s="160"/>
      <c r="O305" s="160"/>
      <c r="P305" s="158"/>
      <c r="Q305" s="158"/>
      <c r="R305" s="158"/>
      <c r="S305" s="158"/>
      <c r="T305" s="158"/>
      <c r="U305" s="158"/>
      <c r="V305" s="159"/>
      <c r="W305" s="159"/>
      <c r="X305" s="159"/>
      <c r="Y305" s="158"/>
      <c r="Z305" s="159"/>
      <c r="AA305" s="160"/>
      <c r="AB305" s="160"/>
      <c r="AC305" s="160"/>
      <c r="AD305" s="160"/>
      <c r="AE305" s="160"/>
      <c r="AF305" s="159"/>
      <c r="AG305" s="159"/>
      <c r="AH305" s="159"/>
      <c r="AI305" s="159"/>
      <c r="AJ305" s="159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67"/>
      <c r="AU305" s="167"/>
      <c r="AV305" s="167"/>
      <c r="AW305" s="167"/>
      <c r="AX305" s="167"/>
      <c r="AY305" s="167"/>
      <c r="AZ305" s="167"/>
      <c r="BA305" s="167"/>
      <c r="BB305" s="167"/>
      <c r="BC305" s="167"/>
      <c r="BD305" s="167"/>
      <c r="BE305" s="167"/>
      <c r="BF305" s="167"/>
      <c r="BG305" s="167"/>
      <c r="BH305" s="167"/>
      <c r="BI305" s="167"/>
      <c r="BJ305" s="167"/>
      <c r="BK305" s="167"/>
      <c r="BL305" s="167"/>
      <c r="BM305" s="167"/>
      <c r="BN305" s="167"/>
      <c r="BO305" s="167"/>
      <c r="BP305" s="167"/>
      <c r="BQ305" s="167"/>
      <c r="BR305" s="167"/>
      <c r="BS305" s="167"/>
      <c r="BT305" s="167"/>
      <c r="BU305" s="167"/>
      <c r="BW305" s="163" t="s">
        <v>492</v>
      </c>
      <c r="CH305" s="159"/>
      <c r="CI305" s="159"/>
      <c r="CJ305" s="159"/>
      <c r="CK305" s="159"/>
      <c r="CL305" s="159"/>
      <c r="CM305" s="159"/>
      <c r="CN305" s="159"/>
      <c r="CO305" s="159"/>
      <c r="CP305" s="159"/>
      <c r="CQ305" s="159"/>
      <c r="CR305" s="159"/>
      <c r="CS305" s="159"/>
      <c r="CT305" s="159"/>
      <c r="CU305" s="159"/>
      <c r="CV305" s="159"/>
      <c r="CW305" s="159"/>
      <c r="CX305" s="159"/>
      <c r="CY305" s="134"/>
    </row>
    <row r="306" spans="1:103" ht="12.75" customHeight="1" x14ac:dyDescent="0.3">
      <c r="A306" s="155"/>
      <c r="B306" s="134"/>
      <c r="C306" s="134"/>
      <c r="D306" s="134"/>
      <c r="E306" s="157"/>
      <c r="F306" s="157"/>
      <c r="G306" s="157"/>
      <c r="H306" s="157"/>
      <c r="I306" s="158"/>
      <c r="J306" s="159"/>
      <c r="K306" s="159"/>
      <c r="L306" s="159"/>
      <c r="M306" s="160"/>
      <c r="N306" s="160"/>
      <c r="O306" s="160"/>
      <c r="P306" s="158"/>
      <c r="Q306" s="158"/>
      <c r="R306" s="158"/>
      <c r="S306" s="158"/>
      <c r="T306" s="158"/>
      <c r="U306" s="158"/>
      <c r="V306" s="159"/>
      <c r="W306" s="159"/>
      <c r="X306" s="159"/>
      <c r="Y306" s="158"/>
      <c r="Z306" s="159"/>
      <c r="AA306" s="160"/>
      <c r="AB306" s="160"/>
      <c r="AC306" s="160"/>
      <c r="AD306" s="160"/>
      <c r="AE306" s="160"/>
      <c r="AF306" s="159"/>
      <c r="AG306" s="159"/>
      <c r="AH306" s="159"/>
      <c r="AI306" s="159"/>
      <c r="AJ306" s="159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67"/>
      <c r="AU306" s="167"/>
      <c r="AV306" s="167"/>
      <c r="AW306" s="167"/>
      <c r="AX306" s="167"/>
      <c r="AY306" s="167"/>
      <c r="AZ306" s="167"/>
      <c r="BA306" s="167"/>
      <c r="BB306" s="167"/>
      <c r="BC306" s="167"/>
      <c r="BD306" s="167"/>
      <c r="BE306" s="167"/>
      <c r="BF306" s="167"/>
      <c r="BG306" s="167"/>
      <c r="BH306" s="167"/>
      <c r="BI306" s="167"/>
      <c r="BJ306" s="167"/>
      <c r="BK306" s="167"/>
      <c r="BL306" s="167"/>
      <c r="BM306" s="167"/>
      <c r="BN306" s="167"/>
      <c r="BO306" s="167"/>
      <c r="BP306" s="167"/>
      <c r="BQ306" s="167"/>
      <c r="BR306" s="167"/>
      <c r="BS306" s="167"/>
      <c r="BT306" s="167"/>
      <c r="BU306" s="167"/>
      <c r="BW306" s="163" t="s">
        <v>493</v>
      </c>
      <c r="CH306" s="159"/>
      <c r="CI306" s="159"/>
      <c r="CJ306" s="159"/>
      <c r="CK306" s="159"/>
      <c r="CL306" s="159"/>
      <c r="CM306" s="159"/>
      <c r="CN306" s="159"/>
      <c r="CO306" s="159"/>
      <c r="CP306" s="159"/>
      <c r="CQ306" s="159"/>
      <c r="CR306" s="159"/>
      <c r="CS306" s="159"/>
      <c r="CT306" s="159"/>
      <c r="CU306" s="159"/>
      <c r="CV306" s="159"/>
      <c r="CW306" s="159"/>
      <c r="CX306" s="159"/>
      <c r="CY306" s="134"/>
    </row>
    <row r="307" spans="1:103" ht="12.75" customHeight="1" x14ac:dyDescent="0.3">
      <c r="A307" s="155"/>
      <c r="B307" s="134"/>
      <c r="C307" s="134"/>
      <c r="D307" s="134"/>
      <c r="E307" s="157"/>
      <c r="F307" s="157"/>
      <c r="G307" s="157"/>
      <c r="H307" s="157"/>
      <c r="I307" s="158"/>
      <c r="J307" s="159"/>
      <c r="K307" s="159"/>
      <c r="L307" s="159"/>
      <c r="M307" s="160"/>
      <c r="N307" s="160"/>
      <c r="O307" s="160"/>
      <c r="P307" s="158"/>
      <c r="Q307" s="158"/>
      <c r="R307" s="158"/>
      <c r="S307" s="158"/>
      <c r="T307" s="158"/>
      <c r="U307" s="158"/>
      <c r="V307" s="159"/>
      <c r="W307" s="159"/>
      <c r="X307" s="159"/>
      <c r="Y307" s="158"/>
      <c r="Z307" s="159"/>
      <c r="AA307" s="160"/>
      <c r="AB307" s="160"/>
      <c r="AC307" s="160"/>
      <c r="AD307" s="160"/>
      <c r="AE307" s="160"/>
      <c r="AF307" s="159"/>
      <c r="AG307" s="159"/>
      <c r="AH307" s="159"/>
      <c r="AI307" s="159"/>
      <c r="AJ307" s="159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67"/>
      <c r="AU307" s="167"/>
      <c r="AV307" s="167"/>
      <c r="AW307" s="167"/>
      <c r="AX307" s="167"/>
      <c r="AY307" s="167"/>
      <c r="AZ307" s="167"/>
      <c r="BA307" s="167"/>
      <c r="BB307" s="167"/>
      <c r="BC307" s="167"/>
      <c r="BD307" s="167"/>
      <c r="BE307" s="167"/>
      <c r="BF307" s="167"/>
      <c r="BG307" s="167"/>
      <c r="BH307" s="167"/>
      <c r="BI307" s="167"/>
      <c r="BJ307" s="167"/>
      <c r="BK307" s="167"/>
      <c r="BL307" s="167"/>
      <c r="BM307" s="167"/>
      <c r="BN307" s="167"/>
      <c r="BO307" s="167"/>
      <c r="BP307" s="167"/>
      <c r="BQ307" s="167"/>
      <c r="BR307" s="167"/>
      <c r="BS307" s="167"/>
      <c r="BT307" s="167"/>
      <c r="BU307" s="167"/>
      <c r="BW307" s="163" t="s">
        <v>494</v>
      </c>
      <c r="CH307" s="159"/>
      <c r="CI307" s="159"/>
      <c r="CJ307" s="159"/>
      <c r="CK307" s="159"/>
      <c r="CL307" s="159"/>
      <c r="CM307" s="159"/>
      <c r="CN307" s="159"/>
      <c r="CO307" s="159"/>
      <c r="CP307" s="159"/>
      <c r="CQ307" s="159"/>
      <c r="CR307" s="159"/>
      <c r="CS307" s="159"/>
      <c r="CT307" s="159"/>
      <c r="CU307" s="159"/>
      <c r="CV307" s="159"/>
      <c r="CW307" s="159"/>
      <c r="CX307" s="159"/>
      <c r="CY307" s="134"/>
    </row>
    <row r="308" spans="1:103" ht="12.75" customHeight="1" x14ac:dyDescent="0.3">
      <c r="A308" s="155"/>
      <c r="B308" s="134"/>
      <c r="C308" s="134"/>
      <c r="D308" s="134"/>
      <c r="E308" s="157"/>
      <c r="F308" s="157"/>
      <c r="G308" s="157"/>
      <c r="H308" s="157"/>
      <c r="I308" s="158"/>
      <c r="J308" s="159"/>
      <c r="K308" s="159"/>
      <c r="L308" s="159"/>
      <c r="M308" s="160"/>
      <c r="N308" s="160"/>
      <c r="O308" s="160"/>
      <c r="P308" s="158"/>
      <c r="Q308" s="158"/>
      <c r="R308" s="158"/>
      <c r="S308" s="158"/>
      <c r="T308" s="158"/>
      <c r="U308" s="158"/>
      <c r="V308" s="159"/>
      <c r="W308" s="159"/>
      <c r="X308" s="159"/>
      <c r="Y308" s="158"/>
      <c r="Z308" s="159"/>
      <c r="AA308" s="160"/>
      <c r="AB308" s="160"/>
      <c r="AC308" s="160"/>
      <c r="AD308" s="160"/>
      <c r="AE308" s="160"/>
      <c r="AF308" s="159"/>
      <c r="AG308" s="159"/>
      <c r="AH308" s="159"/>
      <c r="AI308" s="159"/>
      <c r="AJ308" s="159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67"/>
      <c r="AU308" s="167"/>
      <c r="AV308" s="167"/>
      <c r="AW308" s="167"/>
      <c r="AX308" s="167"/>
      <c r="AY308" s="167"/>
      <c r="AZ308" s="167"/>
      <c r="BA308" s="167"/>
      <c r="BB308" s="167"/>
      <c r="BC308" s="167"/>
      <c r="BD308" s="167"/>
      <c r="BE308" s="167"/>
      <c r="BF308" s="167"/>
      <c r="BG308" s="167"/>
      <c r="BH308" s="167"/>
      <c r="BI308" s="167"/>
      <c r="BJ308" s="167"/>
      <c r="BK308" s="167"/>
      <c r="BL308" s="167"/>
      <c r="BM308" s="167"/>
      <c r="BN308" s="167"/>
      <c r="BO308" s="167"/>
      <c r="BP308" s="167"/>
      <c r="BQ308" s="167"/>
      <c r="BR308" s="167"/>
      <c r="BS308" s="167"/>
      <c r="BT308" s="167"/>
      <c r="BU308" s="167"/>
      <c r="BW308" s="163" t="s">
        <v>454</v>
      </c>
      <c r="CH308" s="159"/>
      <c r="CI308" s="159"/>
      <c r="CJ308" s="159"/>
      <c r="CK308" s="159"/>
      <c r="CL308" s="159"/>
      <c r="CM308" s="159"/>
      <c r="CN308" s="159"/>
      <c r="CO308" s="159"/>
      <c r="CP308" s="159"/>
      <c r="CQ308" s="159"/>
      <c r="CR308" s="159"/>
      <c r="CS308" s="159"/>
      <c r="CT308" s="159"/>
      <c r="CU308" s="159"/>
      <c r="CV308" s="159"/>
      <c r="CW308" s="159"/>
      <c r="CX308" s="159"/>
      <c r="CY308" s="134"/>
    </row>
    <row r="309" spans="1:103" ht="12.75" customHeight="1" x14ac:dyDescent="0.3">
      <c r="A309" s="155"/>
      <c r="B309" s="134"/>
      <c r="C309" s="134"/>
      <c r="D309" s="134"/>
      <c r="E309" s="157"/>
      <c r="F309" s="157"/>
      <c r="G309" s="157"/>
      <c r="H309" s="157"/>
      <c r="I309" s="158"/>
      <c r="J309" s="159"/>
      <c r="K309" s="159"/>
      <c r="L309" s="159"/>
      <c r="M309" s="160"/>
      <c r="N309" s="160"/>
      <c r="O309" s="160"/>
      <c r="P309" s="158"/>
      <c r="Q309" s="158"/>
      <c r="R309" s="158"/>
      <c r="S309" s="158"/>
      <c r="T309" s="158"/>
      <c r="U309" s="158"/>
      <c r="V309" s="159"/>
      <c r="W309" s="159"/>
      <c r="X309" s="159"/>
      <c r="Y309" s="158"/>
      <c r="Z309" s="159"/>
      <c r="AA309" s="160"/>
      <c r="AB309" s="160"/>
      <c r="AC309" s="160"/>
      <c r="AD309" s="160"/>
      <c r="AE309" s="160"/>
      <c r="AF309" s="159"/>
      <c r="AG309" s="159"/>
      <c r="AH309" s="159"/>
      <c r="AI309" s="159"/>
      <c r="AJ309" s="159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67"/>
      <c r="AU309" s="167"/>
      <c r="AV309" s="167"/>
      <c r="AW309" s="167"/>
      <c r="AX309" s="167"/>
      <c r="AY309" s="167"/>
      <c r="AZ309" s="167"/>
      <c r="BA309" s="167"/>
      <c r="BB309" s="167"/>
      <c r="BC309" s="167"/>
      <c r="BD309" s="167"/>
      <c r="BE309" s="167"/>
      <c r="BF309" s="167"/>
      <c r="BG309" s="167"/>
      <c r="BH309" s="167"/>
      <c r="BI309" s="167"/>
      <c r="BJ309" s="167"/>
      <c r="BK309" s="167"/>
      <c r="BL309" s="167"/>
      <c r="BM309" s="167"/>
      <c r="BN309" s="167"/>
      <c r="BO309" s="167"/>
      <c r="BP309" s="167"/>
      <c r="BQ309" s="167"/>
      <c r="BR309" s="167"/>
      <c r="BS309" s="167"/>
      <c r="BT309" s="167"/>
      <c r="BU309" s="167"/>
      <c r="BW309" s="163" t="s">
        <v>227</v>
      </c>
      <c r="CH309" s="159"/>
      <c r="CI309" s="159"/>
      <c r="CJ309" s="159"/>
      <c r="CK309" s="159"/>
      <c r="CL309" s="159"/>
      <c r="CM309" s="159"/>
      <c r="CN309" s="159"/>
      <c r="CO309" s="159"/>
      <c r="CP309" s="159"/>
      <c r="CQ309" s="159"/>
      <c r="CR309" s="159"/>
      <c r="CS309" s="159"/>
      <c r="CT309" s="159"/>
      <c r="CU309" s="159"/>
      <c r="CV309" s="159"/>
      <c r="CW309" s="159"/>
      <c r="CX309" s="159"/>
      <c r="CY309" s="134"/>
    </row>
    <row r="310" spans="1:103" ht="12.75" customHeight="1" x14ac:dyDescent="0.3">
      <c r="A310" s="155"/>
      <c r="B310" s="134"/>
      <c r="C310" s="134"/>
      <c r="D310" s="134"/>
      <c r="E310" s="157"/>
      <c r="F310" s="157"/>
      <c r="G310" s="157"/>
      <c r="H310" s="157"/>
      <c r="I310" s="158"/>
      <c r="J310" s="159"/>
      <c r="K310" s="159"/>
      <c r="L310" s="159"/>
      <c r="M310" s="160"/>
      <c r="N310" s="160"/>
      <c r="O310" s="160"/>
      <c r="P310" s="158"/>
      <c r="Q310" s="158"/>
      <c r="R310" s="158"/>
      <c r="S310" s="158"/>
      <c r="T310" s="158"/>
      <c r="U310" s="158"/>
      <c r="V310" s="159"/>
      <c r="W310" s="159"/>
      <c r="X310" s="159"/>
      <c r="Y310" s="158"/>
      <c r="Z310" s="159"/>
      <c r="AA310" s="160"/>
      <c r="AB310" s="160"/>
      <c r="AC310" s="160"/>
      <c r="AD310" s="160"/>
      <c r="AE310" s="160"/>
      <c r="AF310" s="159"/>
      <c r="AG310" s="159"/>
      <c r="AH310" s="159"/>
      <c r="AI310" s="159"/>
      <c r="AJ310" s="159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67"/>
      <c r="AU310" s="167"/>
      <c r="AV310" s="167"/>
      <c r="AW310" s="167"/>
      <c r="AX310" s="167"/>
      <c r="AY310" s="167"/>
      <c r="AZ310" s="167"/>
      <c r="BA310" s="167"/>
      <c r="BB310" s="167"/>
      <c r="BC310" s="167"/>
      <c r="BD310" s="167"/>
      <c r="BE310" s="167"/>
      <c r="BF310" s="167"/>
      <c r="BG310" s="167"/>
      <c r="BH310" s="167"/>
      <c r="BI310" s="167"/>
      <c r="BJ310" s="167"/>
      <c r="BK310" s="167"/>
      <c r="BL310" s="167"/>
      <c r="BM310" s="167"/>
      <c r="BN310" s="167"/>
      <c r="BO310" s="167"/>
      <c r="BP310" s="167"/>
      <c r="BQ310" s="167"/>
      <c r="BR310" s="167"/>
      <c r="BS310" s="167"/>
      <c r="BT310" s="167"/>
      <c r="BU310" s="167"/>
      <c r="BW310" s="163" t="s">
        <v>228</v>
      </c>
      <c r="CH310" s="159"/>
      <c r="CI310" s="159"/>
      <c r="CJ310" s="159"/>
      <c r="CK310" s="159"/>
      <c r="CL310" s="159"/>
      <c r="CM310" s="159"/>
      <c r="CN310" s="159"/>
      <c r="CO310" s="159"/>
      <c r="CP310" s="159"/>
      <c r="CQ310" s="159"/>
      <c r="CR310" s="159"/>
      <c r="CS310" s="159"/>
      <c r="CT310" s="159"/>
      <c r="CU310" s="159"/>
      <c r="CV310" s="159"/>
      <c r="CW310" s="159"/>
      <c r="CX310" s="159"/>
      <c r="CY310" s="134"/>
    </row>
    <row r="311" spans="1:103" ht="12.75" customHeight="1" x14ac:dyDescent="0.3">
      <c r="A311" s="155"/>
      <c r="B311" s="134"/>
      <c r="C311" s="134"/>
      <c r="D311" s="134"/>
      <c r="E311" s="157"/>
      <c r="F311" s="157"/>
      <c r="G311" s="157"/>
      <c r="H311" s="157"/>
      <c r="I311" s="158"/>
      <c r="J311" s="159"/>
      <c r="K311" s="159"/>
      <c r="L311" s="159"/>
      <c r="M311" s="160"/>
      <c r="N311" s="160"/>
      <c r="O311" s="160"/>
      <c r="P311" s="158"/>
      <c r="Q311" s="158"/>
      <c r="R311" s="158"/>
      <c r="S311" s="158"/>
      <c r="T311" s="158"/>
      <c r="U311" s="158"/>
      <c r="V311" s="159"/>
      <c r="W311" s="159"/>
      <c r="X311" s="159"/>
      <c r="Y311" s="158"/>
      <c r="Z311" s="159"/>
      <c r="AA311" s="160"/>
      <c r="AB311" s="160"/>
      <c r="AC311" s="160"/>
      <c r="AD311" s="160"/>
      <c r="AE311" s="160"/>
      <c r="AF311" s="159"/>
      <c r="AG311" s="159"/>
      <c r="AH311" s="159"/>
      <c r="AI311" s="159"/>
      <c r="AJ311" s="159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67"/>
      <c r="AU311" s="167"/>
      <c r="AV311" s="167"/>
      <c r="AW311" s="167"/>
      <c r="AX311" s="167"/>
      <c r="AY311" s="167"/>
      <c r="AZ311" s="167"/>
      <c r="BA311" s="167"/>
      <c r="BB311" s="167"/>
      <c r="BC311" s="167"/>
      <c r="BD311" s="167"/>
      <c r="BE311" s="167"/>
      <c r="BF311" s="167"/>
      <c r="BG311" s="167"/>
      <c r="BH311" s="167"/>
      <c r="BI311" s="167"/>
      <c r="BJ311" s="167"/>
      <c r="BK311" s="167"/>
      <c r="BL311" s="167"/>
      <c r="BM311" s="167"/>
      <c r="BN311" s="167"/>
      <c r="BO311" s="167"/>
      <c r="BP311" s="167"/>
      <c r="BQ311" s="167"/>
      <c r="BR311" s="167"/>
      <c r="BS311" s="167"/>
      <c r="BT311" s="167"/>
      <c r="BU311" s="167"/>
      <c r="BW311" s="163" t="s">
        <v>229</v>
      </c>
      <c r="CH311" s="159"/>
      <c r="CI311" s="159"/>
      <c r="CJ311" s="159"/>
      <c r="CK311" s="159"/>
      <c r="CL311" s="159"/>
      <c r="CM311" s="159"/>
      <c r="CN311" s="159"/>
      <c r="CO311" s="159"/>
      <c r="CP311" s="159"/>
      <c r="CQ311" s="159"/>
      <c r="CR311" s="159"/>
      <c r="CS311" s="159"/>
      <c r="CT311" s="159"/>
      <c r="CU311" s="159"/>
      <c r="CV311" s="159"/>
      <c r="CW311" s="159"/>
      <c r="CX311" s="159"/>
      <c r="CY311" s="134"/>
    </row>
    <row r="312" spans="1:103" ht="12.75" customHeight="1" x14ac:dyDescent="0.3">
      <c r="A312" s="155"/>
      <c r="B312" s="134"/>
      <c r="C312" s="134"/>
      <c r="D312" s="134"/>
      <c r="E312" s="157"/>
      <c r="F312" s="157"/>
      <c r="G312" s="157"/>
      <c r="H312" s="157"/>
      <c r="I312" s="158"/>
      <c r="J312" s="159"/>
      <c r="K312" s="159"/>
      <c r="L312" s="159"/>
      <c r="M312" s="160"/>
      <c r="N312" s="160"/>
      <c r="O312" s="160"/>
      <c r="P312" s="158"/>
      <c r="Q312" s="158"/>
      <c r="R312" s="158"/>
      <c r="S312" s="158"/>
      <c r="T312" s="158"/>
      <c r="U312" s="158"/>
      <c r="V312" s="159"/>
      <c r="W312" s="159"/>
      <c r="X312" s="159"/>
      <c r="Y312" s="158"/>
      <c r="Z312" s="159"/>
      <c r="AA312" s="160"/>
      <c r="AB312" s="160"/>
      <c r="AC312" s="160"/>
      <c r="AD312" s="160"/>
      <c r="AE312" s="160"/>
      <c r="AF312" s="159"/>
      <c r="AG312" s="159"/>
      <c r="AH312" s="159"/>
      <c r="AI312" s="159"/>
      <c r="AJ312" s="159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67"/>
      <c r="AU312" s="167"/>
      <c r="AV312" s="167"/>
      <c r="AW312" s="167"/>
      <c r="AX312" s="167"/>
      <c r="AY312" s="167"/>
      <c r="AZ312" s="167"/>
      <c r="BA312" s="167"/>
      <c r="BB312" s="167"/>
      <c r="BC312" s="167"/>
      <c r="BD312" s="167"/>
      <c r="BE312" s="167"/>
      <c r="BF312" s="167"/>
      <c r="BG312" s="167"/>
      <c r="BH312" s="167"/>
      <c r="BI312" s="167"/>
      <c r="BJ312" s="167"/>
      <c r="BK312" s="167"/>
      <c r="BL312" s="167"/>
      <c r="BM312" s="167"/>
      <c r="BN312" s="167"/>
      <c r="BO312" s="167"/>
      <c r="BP312" s="167"/>
      <c r="BQ312" s="167"/>
      <c r="BR312" s="167"/>
      <c r="BS312" s="167"/>
      <c r="BT312" s="167"/>
      <c r="BU312" s="167"/>
      <c r="BW312" s="163" t="s">
        <v>495</v>
      </c>
      <c r="CH312" s="159"/>
      <c r="CI312" s="159"/>
      <c r="CJ312" s="159"/>
      <c r="CK312" s="159"/>
      <c r="CL312" s="159"/>
      <c r="CM312" s="159"/>
      <c r="CN312" s="159"/>
      <c r="CO312" s="159"/>
      <c r="CP312" s="159"/>
      <c r="CQ312" s="159"/>
      <c r="CR312" s="159"/>
      <c r="CS312" s="159"/>
      <c r="CT312" s="159"/>
      <c r="CU312" s="159"/>
      <c r="CV312" s="159"/>
      <c r="CW312" s="159"/>
      <c r="CX312" s="159"/>
      <c r="CY312" s="134"/>
    </row>
    <row r="313" spans="1:103" ht="12.75" customHeight="1" x14ac:dyDescent="0.3">
      <c r="A313" s="155"/>
      <c r="B313" s="134"/>
      <c r="C313" s="134"/>
      <c r="D313" s="134"/>
      <c r="E313" s="157"/>
      <c r="F313" s="157"/>
      <c r="G313" s="157"/>
      <c r="H313" s="157"/>
      <c r="I313" s="158"/>
      <c r="J313" s="159"/>
      <c r="K313" s="159"/>
      <c r="L313" s="159"/>
      <c r="M313" s="160"/>
      <c r="N313" s="160"/>
      <c r="O313" s="160"/>
      <c r="P313" s="158"/>
      <c r="Q313" s="158"/>
      <c r="R313" s="158"/>
      <c r="S313" s="158"/>
      <c r="T313" s="158"/>
      <c r="U313" s="158"/>
      <c r="V313" s="159"/>
      <c r="W313" s="159"/>
      <c r="X313" s="159"/>
      <c r="Y313" s="158"/>
      <c r="Z313" s="159"/>
      <c r="AA313" s="160"/>
      <c r="AB313" s="160"/>
      <c r="AC313" s="160"/>
      <c r="AD313" s="160"/>
      <c r="AE313" s="160"/>
      <c r="AF313" s="159"/>
      <c r="AG313" s="159"/>
      <c r="AH313" s="159"/>
      <c r="AI313" s="159"/>
      <c r="AJ313" s="159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67"/>
      <c r="AU313" s="167"/>
      <c r="AV313" s="167"/>
      <c r="AW313" s="167"/>
      <c r="AX313" s="167"/>
      <c r="AY313" s="167"/>
      <c r="AZ313" s="167"/>
      <c r="BA313" s="167"/>
      <c r="BB313" s="167"/>
      <c r="BC313" s="167"/>
      <c r="BD313" s="167"/>
      <c r="BE313" s="167"/>
      <c r="BF313" s="167"/>
      <c r="BG313" s="167"/>
      <c r="BH313" s="167"/>
      <c r="BI313" s="167"/>
      <c r="BJ313" s="167"/>
      <c r="BK313" s="167"/>
      <c r="BL313" s="167"/>
      <c r="BM313" s="167"/>
      <c r="BN313" s="167"/>
      <c r="BO313" s="167"/>
      <c r="BP313" s="167"/>
      <c r="BQ313" s="167"/>
      <c r="BR313" s="167"/>
      <c r="BS313" s="167"/>
      <c r="BT313" s="167"/>
      <c r="BU313" s="167"/>
      <c r="BW313" s="163" t="s">
        <v>231</v>
      </c>
      <c r="CH313" s="159"/>
      <c r="CI313" s="159"/>
      <c r="CJ313" s="159"/>
      <c r="CK313" s="159"/>
      <c r="CL313" s="159"/>
      <c r="CM313" s="159"/>
      <c r="CN313" s="159"/>
      <c r="CO313" s="159"/>
      <c r="CP313" s="159"/>
      <c r="CQ313" s="159"/>
      <c r="CR313" s="159"/>
      <c r="CS313" s="159"/>
      <c r="CT313" s="159"/>
      <c r="CU313" s="159"/>
      <c r="CV313" s="159"/>
      <c r="CW313" s="159"/>
      <c r="CX313" s="159"/>
      <c r="CY313" s="134"/>
    </row>
    <row r="314" spans="1:103" ht="12.75" customHeight="1" x14ac:dyDescent="0.3">
      <c r="A314" s="155"/>
      <c r="B314" s="134"/>
      <c r="C314" s="134"/>
      <c r="D314" s="134"/>
      <c r="E314" s="157"/>
      <c r="F314" s="157"/>
      <c r="G314" s="157"/>
      <c r="H314" s="157"/>
      <c r="I314" s="158"/>
      <c r="J314" s="159"/>
      <c r="K314" s="159"/>
      <c r="L314" s="159"/>
      <c r="M314" s="160"/>
      <c r="N314" s="160"/>
      <c r="O314" s="160"/>
      <c r="P314" s="158"/>
      <c r="Q314" s="158"/>
      <c r="R314" s="158"/>
      <c r="S314" s="158"/>
      <c r="T314" s="158"/>
      <c r="U314" s="158"/>
      <c r="V314" s="159"/>
      <c r="W314" s="159"/>
      <c r="X314" s="159"/>
      <c r="Y314" s="158"/>
      <c r="Z314" s="159"/>
      <c r="AA314" s="160"/>
      <c r="AB314" s="160"/>
      <c r="AC314" s="160"/>
      <c r="AD314" s="160"/>
      <c r="AE314" s="160"/>
      <c r="AF314" s="159"/>
      <c r="AG314" s="159"/>
      <c r="AH314" s="159"/>
      <c r="AI314" s="159"/>
      <c r="AJ314" s="159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67"/>
      <c r="AU314" s="167"/>
      <c r="AV314" s="167"/>
      <c r="AW314" s="167"/>
      <c r="AX314" s="167"/>
      <c r="AY314" s="167"/>
      <c r="AZ314" s="167"/>
      <c r="BA314" s="167"/>
      <c r="BB314" s="167"/>
      <c r="BC314" s="167"/>
      <c r="BD314" s="167"/>
      <c r="BE314" s="167"/>
      <c r="BF314" s="167"/>
      <c r="BG314" s="167"/>
      <c r="BH314" s="167"/>
      <c r="BI314" s="167"/>
      <c r="BJ314" s="167"/>
      <c r="BK314" s="167"/>
      <c r="BL314" s="167"/>
      <c r="BM314" s="167"/>
      <c r="BN314" s="167"/>
      <c r="BO314" s="167"/>
      <c r="BP314" s="167"/>
      <c r="BQ314" s="167"/>
      <c r="BR314" s="167"/>
      <c r="BS314" s="167"/>
      <c r="BT314" s="167"/>
      <c r="BU314" s="167"/>
      <c r="BW314" s="163" t="s">
        <v>496</v>
      </c>
      <c r="CH314" s="159"/>
      <c r="CI314" s="159"/>
      <c r="CJ314" s="159"/>
      <c r="CK314" s="159"/>
      <c r="CL314" s="159"/>
      <c r="CM314" s="159"/>
      <c r="CN314" s="159"/>
      <c r="CO314" s="159"/>
      <c r="CP314" s="159"/>
      <c r="CQ314" s="159"/>
      <c r="CR314" s="159"/>
      <c r="CS314" s="159"/>
      <c r="CT314" s="159"/>
      <c r="CU314" s="159"/>
      <c r="CV314" s="159"/>
      <c r="CW314" s="159"/>
      <c r="CX314" s="159"/>
      <c r="CY314" s="134"/>
    </row>
    <row r="315" spans="1:103" ht="12.75" customHeight="1" x14ac:dyDescent="0.3">
      <c r="A315" s="155"/>
      <c r="B315" s="134"/>
      <c r="C315" s="134"/>
      <c r="D315" s="134"/>
      <c r="E315" s="157"/>
      <c r="F315" s="157"/>
      <c r="G315" s="157"/>
      <c r="H315" s="157"/>
      <c r="I315" s="158"/>
      <c r="J315" s="159"/>
      <c r="K315" s="159"/>
      <c r="L315" s="159"/>
      <c r="M315" s="160"/>
      <c r="N315" s="160"/>
      <c r="O315" s="160"/>
      <c r="P315" s="158"/>
      <c r="Q315" s="158"/>
      <c r="R315" s="158"/>
      <c r="S315" s="158"/>
      <c r="T315" s="158"/>
      <c r="U315" s="158"/>
      <c r="V315" s="159"/>
      <c r="W315" s="159"/>
      <c r="X315" s="159"/>
      <c r="Y315" s="158"/>
      <c r="Z315" s="159"/>
      <c r="AA315" s="160"/>
      <c r="AB315" s="160"/>
      <c r="AC315" s="160"/>
      <c r="AD315" s="160"/>
      <c r="AE315" s="160"/>
      <c r="AF315" s="159"/>
      <c r="AG315" s="159"/>
      <c r="AH315" s="159"/>
      <c r="AI315" s="159"/>
      <c r="AJ315" s="159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67"/>
      <c r="AU315" s="167"/>
      <c r="AV315" s="167"/>
      <c r="AW315" s="167"/>
      <c r="AX315" s="167"/>
      <c r="AY315" s="167"/>
      <c r="AZ315" s="167"/>
      <c r="BA315" s="167"/>
      <c r="BB315" s="167"/>
      <c r="BC315" s="167"/>
      <c r="BD315" s="167"/>
      <c r="BE315" s="167"/>
      <c r="BF315" s="167"/>
      <c r="BG315" s="167"/>
      <c r="BH315" s="167"/>
      <c r="BI315" s="167"/>
      <c r="BJ315" s="167"/>
      <c r="BK315" s="167"/>
      <c r="BL315" s="167"/>
      <c r="BM315" s="167"/>
      <c r="BN315" s="167"/>
      <c r="BO315" s="167"/>
      <c r="BP315" s="167"/>
      <c r="BQ315" s="167"/>
      <c r="BR315" s="167"/>
      <c r="BS315" s="167"/>
      <c r="BT315" s="167"/>
      <c r="BU315" s="167"/>
      <c r="BW315" s="163"/>
      <c r="CH315" s="159"/>
      <c r="CI315" s="159"/>
      <c r="CJ315" s="159"/>
      <c r="CK315" s="159"/>
      <c r="CL315" s="159"/>
      <c r="CM315" s="159"/>
      <c r="CN315" s="159"/>
      <c r="CO315" s="159"/>
      <c r="CP315" s="159"/>
      <c r="CQ315" s="159"/>
      <c r="CR315" s="159"/>
      <c r="CS315" s="159"/>
      <c r="CT315" s="159"/>
      <c r="CU315" s="159"/>
      <c r="CV315" s="159"/>
      <c r="CW315" s="159"/>
      <c r="CX315" s="159"/>
      <c r="CY315" s="134"/>
    </row>
    <row r="316" spans="1:103" ht="12.75" customHeight="1" x14ac:dyDescent="0.3">
      <c r="A316" s="155"/>
      <c r="B316" s="134"/>
      <c r="C316" s="134"/>
      <c r="D316" s="134"/>
      <c r="E316" s="157"/>
      <c r="F316" s="157"/>
      <c r="G316" s="157"/>
      <c r="H316" s="157"/>
      <c r="I316" s="158"/>
      <c r="J316" s="159"/>
      <c r="K316" s="159"/>
      <c r="L316" s="159"/>
      <c r="M316" s="160"/>
      <c r="N316" s="160"/>
      <c r="O316" s="160"/>
      <c r="P316" s="158"/>
      <c r="Q316" s="158"/>
      <c r="R316" s="158"/>
      <c r="S316" s="158"/>
      <c r="T316" s="158"/>
      <c r="U316" s="158"/>
      <c r="V316" s="159"/>
      <c r="W316" s="159"/>
      <c r="X316" s="159"/>
      <c r="Y316" s="158"/>
      <c r="Z316" s="159"/>
      <c r="AA316" s="160"/>
      <c r="AB316" s="160"/>
      <c r="AC316" s="160"/>
      <c r="AD316" s="160"/>
      <c r="AE316" s="160"/>
      <c r="AF316" s="159"/>
      <c r="AG316" s="159"/>
      <c r="AH316" s="159"/>
      <c r="AI316" s="159"/>
      <c r="AJ316" s="159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67"/>
      <c r="AU316" s="167"/>
      <c r="AV316" s="167"/>
      <c r="AW316" s="167"/>
      <c r="AX316" s="167"/>
      <c r="AY316" s="167"/>
      <c r="AZ316" s="167"/>
      <c r="BA316" s="167"/>
      <c r="BB316" s="167"/>
      <c r="BC316" s="167"/>
      <c r="BD316" s="167"/>
      <c r="BE316" s="167"/>
      <c r="BF316" s="167"/>
      <c r="BG316" s="167"/>
      <c r="BH316" s="167"/>
      <c r="BI316" s="167"/>
      <c r="BJ316" s="167"/>
      <c r="BK316" s="167"/>
      <c r="BL316" s="167"/>
      <c r="BM316" s="167"/>
      <c r="BN316" s="167"/>
      <c r="BO316" s="167"/>
      <c r="BP316" s="167"/>
      <c r="BQ316" s="167"/>
      <c r="BR316" s="167"/>
      <c r="BS316" s="167"/>
      <c r="BT316" s="167"/>
      <c r="BU316" s="167"/>
      <c r="BW316" s="163"/>
      <c r="CH316" s="159"/>
      <c r="CI316" s="159"/>
      <c r="CJ316" s="159"/>
      <c r="CK316" s="159"/>
      <c r="CL316" s="159"/>
      <c r="CM316" s="159"/>
      <c r="CN316" s="159"/>
      <c r="CO316" s="159"/>
      <c r="CP316" s="159"/>
      <c r="CQ316" s="159"/>
      <c r="CR316" s="159"/>
      <c r="CS316" s="159"/>
      <c r="CT316" s="159"/>
      <c r="CU316" s="159"/>
      <c r="CV316" s="159"/>
      <c r="CW316" s="159"/>
      <c r="CX316" s="159"/>
      <c r="CY316" s="134"/>
    </row>
    <row r="317" spans="1:103" ht="12.75" customHeight="1" x14ac:dyDescent="0.3">
      <c r="A317" s="155"/>
      <c r="B317" s="134"/>
      <c r="C317" s="134"/>
      <c r="D317" s="134"/>
      <c r="E317" s="157"/>
      <c r="F317" s="157"/>
      <c r="G317" s="157"/>
      <c r="H317" s="157"/>
      <c r="I317" s="158"/>
      <c r="J317" s="159"/>
      <c r="K317" s="159"/>
      <c r="L317" s="159"/>
      <c r="M317" s="160"/>
      <c r="N317" s="160"/>
      <c r="O317" s="160"/>
      <c r="P317" s="158"/>
      <c r="Q317" s="158"/>
      <c r="R317" s="158"/>
      <c r="S317" s="158"/>
      <c r="T317" s="158"/>
      <c r="U317" s="158"/>
      <c r="V317" s="159"/>
      <c r="W317" s="159"/>
      <c r="X317" s="159"/>
      <c r="Y317" s="158"/>
      <c r="Z317" s="159"/>
      <c r="AA317" s="160"/>
      <c r="AB317" s="160"/>
      <c r="AC317" s="160"/>
      <c r="AD317" s="160"/>
      <c r="AE317" s="160"/>
      <c r="AF317" s="159"/>
      <c r="AG317" s="159"/>
      <c r="AH317" s="159"/>
      <c r="AI317" s="159"/>
      <c r="AJ317" s="159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67"/>
      <c r="AU317" s="167"/>
      <c r="AV317" s="167"/>
      <c r="AW317" s="167"/>
      <c r="AX317" s="167"/>
      <c r="AY317" s="167"/>
      <c r="AZ317" s="167"/>
      <c r="BA317" s="167"/>
      <c r="BB317" s="167"/>
      <c r="BC317" s="167"/>
      <c r="BD317" s="167"/>
      <c r="BE317" s="167"/>
      <c r="BF317" s="167"/>
      <c r="BG317" s="167"/>
      <c r="BH317" s="167"/>
      <c r="BI317" s="167"/>
      <c r="BJ317" s="167"/>
      <c r="BK317" s="167"/>
      <c r="BL317" s="167"/>
      <c r="BM317" s="167"/>
      <c r="BN317" s="167"/>
      <c r="BO317" s="167"/>
      <c r="BP317" s="167"/>
      <c r="BQ317" s="167"/>
      <c r="BR317" s="167"/>
      <c r="BS317" s="167"/>
      <c r="BT317" s="167"/>
      <c r="BU317" s="167"/>
      <c r="BW317" s="163"/>
      <c r="CH317" s="159"/>
      <c r="CI317" s="159"/>
      <c r="CJ317" s="159"/>
      <c r="CK317" s="159"/>
      <c r="CL317" s="159"/>
      <c r="CM317" s="159"/>
      <c r="CN317" s="159"/>
      <c r="CO317" s="159"/>
      <c r="CP317" s="159"/>
      <c r="CQ317" s="159"/>
      <c r="CR317" s="159"/>
      <c r="CS317" s="159"/>
      <c r="CT317" s="159"/>
      <c r="CU317" s="159"/>
      <c r="CV317" s="159"/>
      <c r="CW317" s="159"/>
      <c r="CX317" s="159"/>
      <c r="CY317" s="134"/>
    </row>
    <row r="318" spans="1:103" ht="12.75" customHeight="1" x14ac:dyDescent="0.3">
      <c r="A318" s="155"/>
      <c r="B318" s="134"/>
      <c r="C318" s="134"/>
      <c r="D318" s="134"/>
      <c r="E318" s="157"/>
      <c r="F318" s="157"/>
      <c r="G318" s="157"/>
      <c r="H318" s="157"/>
      <c r="I318" s="158"/>
      <c r="J318" s="159"/>
      <c r="K318" s="159"/>
      <c r="L318" s="159"/>
      <c r="M318" s="160"/>
      <c r="N318" s="160"/>
      <c r="O318" s="160"/>
      <c r="P318" s="158"/>
      <c r="Q318" s="158"/>
      <c r="R318" s="158"/>
      <c r="S318" s="158"/>
      <c r="T318" s="158"/>
      <c r="U318" s="158"/>
      <c r="V318" s="159"/>
      <c r="W318" s="159"/>
      <c r="X318" s="159"/>
      <c r="Y318" s="158"/>
      <c r="Z318" s="159"/>
      <c r="AA318" s="160"/>
      <c r="AB318" s="160"/>
      <c r="AC318" s="160"/>
      <c r="AD318" s="160"/>
      <c r="AE318" s="160"/>
      <c r="AF318" s="159"/>
      <c r="AG318" s="159"/>
      <c r="AH318" s="159"/>
      <c r="AI318" s="159"/>
      <c r="AJ318" s="159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67"/>
      <c r="AU318" s="167"/>
      <c r="AV318" s="167"/>
      <c r="AW318" s="167"/>
      <c r="AX318" s="167"/>
      <c r="AY318" s="167"/>
      <c r="AZ318" s="167"/>
      <c r="BA318" s="167"/>
      <c r="BB318" s="167"/>
      <c r="BC318" s="167"/>
      <c r="BD318" s="167"/>
      <c r="BE318" s="167"/>
      <c r="BF318" s="167"/>
      <c r="BG318" s="167"/>
      <c r="BH318" s="167"/>
      <c r="BI318" s="167"/>
      <c r="BJ318" s="167"/>
      <c r="BK318" s="167"/>
      <c r="BL318" s="167"/>
      <c r="BM318" s="167"/>
      <c r="BN318" s="167"/>
      <c r="BO318" s="167"/>
      <c r="BP318" s="167"/>
      <c r="BQ318" s="167"/>
      <c r="BR318" s="167"/>
      <c r="BS318" s="167"/>
      <c r="BT318" s="167"/>
      <c r="BU318" s="167"/>
      <c r="BW318" s="163"/>
      <c r="CH318" s="159"/>
      <c r="CI318" s="159"/>
      <c r="CJ318" s="159"/>
      <c r="CK318" s="159"/>
      <c r="CL318" s="159"/>
      <c r="CM318" s="159"/>
      <c r="CN318" s="159"/>
      <c r="CO318" s="159"/>
      <c r="CP318" s="159"/>
      <c r="CQ318" s="159"/>
      <c r="CR318" s="159"/>
      <c r="CS318" s="159"/>
      <c r="CT318" s="159"/>
      <c r="CU318" s="159"/>
      <c r="CV318" s="159"/>
      <c r="CW318" s="159"/>
      <c r="CX318" s="159"/>
      <c r="CY318" s="134"/>
    </row>
    <row r="319" spans="1:103" ht="12.75" customHeight="1" x14ac:dyDescent="0.3">
      <c r="A319" s="155"/>
      <c r="B319" s="134"/>
      <c r="C319" s="134"/>
      <c r="D319" s="134"/>
      <c r="E319" s="157"/>
      <c r="F319" s="157"/>
      <c r="G319" s="157"/>
      <c r="H319" s="157"/>
      <c r="I319" s="158"/>
      <c r="J319" s="159"/>
      <c r="K319" s="159"/>
      <c r="L319" s="159"/>
      <c r="M319" s="160"/>
      <c r="N319" s="160"/>
      <c r="O319" s="160"/>
      <c r="P319" s="158"/>
      <c r="Q319" s="158"/>
      <c r="R319" s="158"/>
      <c r="S319" s="158"/>
      <c r="T319" s="158"/>
      <c r="U319" s="158"/>
      <c r="V319" s="159"/>
      <c r="W319" s="159"/>
      <c r="X319" s="159"/>
      <c r="Y319" s="158"/>
      <c r="Z319" s="159"/>
      <c r="AA319" s="160"/>
      <c r="AB319" s="160"/>
      <c r="AC319" s="160"/>
      <c r="AD319" s="160"/>
      <c r="AE319" s="160"/>
      <c r="AF319" s="159"/>
      <c r="AG319" s="159"/>
      <c r="AH319" s="159"/>
      <c r="AI319" s="159"/>
      <c r="AJ319" s="159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67"/>
      <c r="AU319" s="167"/>
      <c r="AV319" s="167"/>
      <c r="AW319" s="167"/>
      <c r="AX319" s="167"/>
      <c r="AY319" s="167"/>
      <c r="AZ319" s="167"/>
      <c r="BA319" s="167"/>
      <c r="BB319" s="167"/>
      <c r="BC319" s="167"/>
      <c r="BD319" s="167"/>
      <c r="BE319" s="167"/>
      <c r="BF319" s="167"/>
      <c r="BG319" s="167"/>
      <c r="BH319" s="167"/>
      <c r="BI319" s="167"/>
      <c r="BJ319" s="167"/>
      <c r="BK319" s="167"/>
      <c r="BL319" s="167"/>
      <c r="BM319" s="167"/>
      <c r="BN319" s="167"/>
      <c r="BO319" s="167"/>
      <c r="BP319" s="167"/>
      <c r="BQ319" s="167"/>
      <c r="BR319" s="167"/>
      <c r="BS319" s="167"/>
      <c r="BT319" s="167"/>
      <c r="BU319" s="167"/>
      <c r="CH319" s="159"/>
      <c r="CI319" s="159"/>
      <c r="CJ319" s="159"/>
      <c r="CK319" s="159"/>
      <c r="CL319" s="159"/>
      <c r="CM319" s="159"/>
      <c r="CN319" s="159"/>
      <c r="CO319" s="159"/>
      <c r="CP319" s="159"/>
      <c r="CQ319" s="159"/>
      <c r="CR319" s="159"/>
      <c r="CS319" s="159"/>
      <c r="CT319" s="159"/>
      <c r="CU319" s="159"/>
      <c r="CV319" s="159"/>
      <c r="CW319" s="159"/>
      <c r="CX319" s="159"/>
      <c r="CY319" s="134"/>
    </row>
  </sheetData>
  <mergeCells count="53">
    <mergeCell ref="AF9:AK9"/>
    <mergeCell ref="L9:L10"/>
    <mergeCell ref="I11:I12"/>
    <mergeCell ref="J8:L8"/>
    <mergeCell ref="M8:V8"/>
    <mergeCell ref="W8:Y8"/>
    <mergeCell ref="Z8:AE8"/>
    <mergeCell ref="I9:K9"/>
    <mergeCell ref="M9:O9"/>
    <mergeCell ref="P9:R9"/>
    <mergeCell ref="S9:Y9"/>
    <mergeCell ref="AA9:AE9"/>
    <mergeCell ref="A1:B4"/>
    <mergeCell ref="AK3:AK4"/>
    <mergeCell ref="AJ1:AJ2"/>
    <mergeCell ref="AK1:AK2"/>
    <mergeCell ref="AJ3:AJ4"/>
    <mergeCell ref="C3:AE4"/>
    <mergeCell ref="C1:AE2"/>
    <mergeCell ref="A19:A30"/>
    <mergeCell ref="B19:B30"/>
    <mergeCell ref="C19:C30"/>
    <mergeCell ref="B31:B39"/>
    <mergeCell ref="C31:C39"/>
    <mergeCell ref="A31:A39"/>
    <mergeCell ref="A40:A46"/>
    <mergeCell ref="B40:B46"/>
    <mergeCell ref="C40:C46"/>
    <mergeCell ref="A47:A52"/>
    <mergeCell ref="B47:B52"/>
    <mergeCell ref="C47:C52"/>
    <mergeCell ref="A11:A18"/>
    <mergeCell ref="C11:C14"/>
    <mergeCell ref="I15:I16"/>
    <mergeCell ref="B9:B10"/>
    <mergeCell ref="B11:B14"/>
    <mergeCell ref="B15:B18"/>
    <mergeCell ref="C15:C18"/>
    <mergeCell ref="A8:B8"/>
    <mergeCell ref="A9:A10"/>
    <mergeCell ref="C9:C10"/>
    <mergeCell ref="C8:I8"/>
    <mergeCell ref="A7:AE7"/>
    <mergeCell ref="D9:D10"/>
    <mergeCell ref="E9:H9"/>
    <mergeCell ref="Z6:AE6"/>
    <mergeCell ref="S6:Y6"/>
    <mergeCell ref="C5:J5"/>
    <mergeCell ref="K5:R5"/>
    <mergeCell ref="S5:Y5"/>
    <mergeCell ref="Z5:AE5"/>
    <mergeCell ref="C6:J6"/>
    <mergeCell ref="K6:R6"/>
  </mergeCells>
  <conditionalFormatting sqref="V11:V30 V33:V46 V48:V52">
    <cfRule type="containsText" dxfId="48" priority="87" stopIfTrue="1" operator="containsText" text="MUY ALTO">
      <formula>NOT(ISERROR(SEARCH(("MUY ALTO"),(V11))))</formula>
    </cfRule>
    <cfRule type="containsText" dxfId="47" priority="88" stopIfTrue="1" operator="containsText" text="MEDIO">
      <formula>NOT(ISERROR(SEARCH(("MEDIO"),(V11))))</formula>
    </cfRule>
    <cfRule type="cellIs" dxfId="46" priority="89" stopIfTrue="1" operator="equal">
      <formula>"ALTO"</formula>
    </cfRule>
    <cfRule type="cellIs" dxfId="45" priority="90" stopIfTrue="1" operator="equal">
      <formula>"BAJO"</formula>
    </cfRule>
  </conditionalFormatting>
  <conditionalFormatting sqref="Y9:Y10">
    <cfRule type="cellIs" dxfId="44" priority="95" operator="between">
      <formula>"IV"</formula>
      <formula>"IV"</formula>
    </cfRule>
    <cfRule type="cellIs" dxfId="43" priority="96" operator="between">
      <formula>"I"</formula>
      <formula>"I"</formula>
    </cfRule>
    <cfRule type="cellIs" dxfId="42" priority="97" operator="between">
      <formula>"II"</formula>
      <formula>"II"</formula>
    </cfRule>
    <cfRule type="cellIs" dxfId="41" priority="98" operator="between">
      <formula>"III"</formula>
      <formula>"III"</formula>
    </cfRule>
  </conditionalFormatting>
  <conditionalFormatting sqref="Y11:Z30 Y33:Z46 Y48:Z53">
    <cfRule type="cellIs" dxfId="40" priority="99" operator="between">
      <formula>"IV"</formula>
      <formula>"IV"</formula>
    </cfRule>
    <cfRule type="cellIs" dxfId="39" priority="100" operator="between">
      <formula>"I"</formula>
      <formula>"I"</formula>
    </cfRule>
    <cfRule type="cellIs" dxfId="38" priority="101" operator="between">
      <formula>"II"</formula>
      <formula>"II"</formula>
    </cfRule>
    <cfRule type="cellIs" dxfId="37" priority="102" operator="between">
      <formula>"III"</formula>
      <formula>"III"</formula>
    </cfRule>
  </conditionalFormatting>
  <conditionalFormatting sqref="Z9:Z10">
    <cfRule type="containsText" dxfId="36" priority="104" operator="containsText" text="IV">
      <formula>NOT(ISERROR(SEARCH(("IV"),(Z9))))</formula>
    </cfRule>
  </conditionalFormatting>
  <conditionalFormatting sqref="V31">
    <cfRule type="containsText" dxfId="35" priority="65" stopIfTrue="1" operator="containsText" text="MUY ALTO">
      <formula>NOT(ISERROR(SEARCH(("MUY ALTO"),(V31))))</formula>
    </cfRule>
    <cfRule type="containsText" dxfId="34" priority="66" stopIfTrue="1" operator="containsText" text="MEDIO">
      <formula>NOT(ISERROR(SEARCH(("MEDIO"),(V31))))</formula>
    </cfRule>
    <cfRule type="cellIs" dxfId="33" priority="67" stopIfTrue="1" operator="equal">
      <formula>"ALTO"</formula>
    </cfRule>
    <cfRule type="cellIs" dxfId="32" priority="68" stopIfTrue="1" operator="equal">
      <formula>"BAJO"</formula>
    </cfRule>
  </conditionalFormatting>
  <conditionalFormatting sqref="V32">
    <cfRule type="containsText" dxfId="31" priority="53" stopIfTrue="1" operator="containsText" text="MUY ALTO">
      <formula>NOT(ISERROR(SEARCH(("MUY ALTO"),(V32))))</formula>
    </cfRule>
    <cfRule type="containsText" dxfId="30" priority="54" stopIfTrue="1" operator="containsText" text="MEDIO">
      <formula>NOT(ISERROR(SEARCH(("MEDIO"),(V32))))</formula>
    </cfRule>
    <cfRule type="cellIs" dxfId="29" priority="55" stopIfTrue="1" operator="equal">
      <formula>"ALTO"</formula>
    </cfRule>
    <cfRule type="cellIs" dxfId="28" priority="56" stopIfTrue="1" operator="equal">
      <formula>"BAJO"</formula>
    </cfRule>
  </conditionalFormatting>
  <conditionalFormatting sqref="Y32">
    <cfRule type="cellIs" dxfId="27" priority="45" operator="between">
      <formula>"IV"</formula>
      <formula>"IV"</formula>
    </cfRule>
    <cfRule type="cellIs" dxfId="26" priority="46" operator="between">
      <formula>"I"</formula>
      <formula>"I"</formula>
    </cfRule>
    <cfRule type="cellIs" dxfId="25" priority="47" operator="between">
      <formula>"II"</formula>
      <formula>"II"</formula>
    </cfRule>
    <cfRule type="cellIs" dxfId="24" priority="48" operator="between">
      <formula>"III"</formula>
      <formula>"III"</formula>
    </cfRule>
  </conditionalFormatting>
  <conditionalFormatting sqref="Y31">
    <cfRule type="cellIs" dxfId="23" priority="37" operator="between">
      <formula>"IV"</formula>
      <formula>"IV"</formula>
    </cfRule>
    <cfRule type="cellIs" dxfId="22" priority="38" operator="between">
      <formula>"I"</formula>
      <formula>"I"</formula>
    </cfRule>
    <cfRule type="cellIs" dxfId="21" priority="39" operator="between">
      <formula>"II"</formula>
      <formula>"II"</formula>
    </cfRule>
    <cfRule type="cellIs" dxfId="20" priority="40" operator="between">
      <formula>"III"</formula>
      <formula>"III"</formula>
    </cfRule>
  </conditionalFormatting>
  <conditionalFormatting sqref="Z31">
    <cfRule type="cellIs" dxfId="19" priority="33" operator="between">
      <formula>"IV"</formula>
      <formula>"IV"</formula>
    </cfRule>
    <cfRule type="cellIs" dxfId="18" priority="34" operator="between">
      <formula>"I"</formula>
      <formula>"I"</formula>
    </cfRule>
    <cfRule type="cellIs" dxfId="17" priority="35" operator="between">
      <formula>"II"</formula>
      <formula>"II"</formula>
    </cfRule>
    <cfRule type="cellIs" dxfId="16" priority="36" operator="between">
      <formula>"III"</formula>
      <formula>"III"</formula>
    </cfRule>
  </conditionalFormatting>
  <conditionalFormatting sqref="Z32">
    <cfRule type="cellIs" dxfId="15" priority="29" operator="between">
      <formula>"IV"</formula>
      <formula>"IV"</formula>
    </cfRule>
    <cfRule type="cellIs" dxfId="14" priority="30" operator="between">
      <formula>"I"</formula>
      <formula>"I"</formula>
    </cfRule>
    <cfRule type="cellIs" dxfId="13" priority="31" operator="between">
      <formula>"II"</formula>
      <formula>"II"</formula>
    </cfRule>
    <cfRule type="cellIs" dxfId="12" priority="32" operator="between">
      <formula>"III"</formula>
      <formula>"III"</formula>
    </cfRule>
  </conditionalFormatting>
  <conditionalFormatting sqref="V47">
    <cfRule type="containsText" dxfId="11" priority="9" stopIfTrue="1" operator="containsText" text="MUY ALTO">
      <formula>NOT(ISERROR(SEARCH(("MUY ALTO"),(V47))))</formula>
    </cfRule>
    <cfRule type="containsText" dxfId="10" priority="10" stopIfTrue="1" operator="containsText" text="MEDIO">
      <formula>NOT(ISERROR(SEARCH(("MEDIO"),(V47))))</formula>
    </cfRule>
    <cfRule type="cellIs" dxfId="9" priority="11" stopIfTrue="1" operator="equal">
      <formula>"ALTO"</formula>
    </cfRule>
    <cfRule type="cellIs" dxfId="8" priority="12" stopIfTrue="1" operator="equal">
      <formula>"BAJO"</formula>
    </cfRule>
  </conditionalFormatting>
  <conditionalFormatting sqref="Y47">
    <cfRule type="cellIs" dxfId="7" priority="5" operator="between">
      <formula>"IV"</formula>
      <formula>"IV"</formula>
    </cfRule>
    <cfRule type="cellIs" dxfId="6" priority="6" operator="between">
      <formula>"I"</formula>
      <formula>"I"</formula>
    </cfRule>
    <cfRule type="cellIs" dxfId="5" priority="7" operator="between">
      <formula>"II"</formula>
      <formula>"II"</formula>
    </cfRule>
    <cfRule type="cellIs" dxfId="4" priority="8" operator="between">
      <formula>"III"</formula>
      <formula>"III"</formula>
    </cfRule>
  </conditionalFormatting>
  <conditionalFormatting sqref="Z47">
    <cfRule type="cellIs" dxfId="3" priority="1" operator="between">
      <formula>"IV"</formula>
      <formula>"IV"</formula>
    </cfRule>
    <cfRule type="cellIs" dxfId="2" priority="2" operator="between">
      <formula>"I"</formula>
      <formula>"I"</formula>
    </cfRule>
    <cfRule type="cellIs" dxfId="1" priority="3" operator="between">
      <formula>"II"</formula>
      <formula>"II"</formula>
    </cfRule>
    <cfRule type="cellIs" dxfId="0" priority="4" operator="between">
      <formula>"III"</formula>
      <formula>"III"</formula>
    </cfRule>
  </conditionalFormatting>
  <pageMargins left="0.7" right="0.7" top="0.75" bottom="0.75" header="0" footer="0"/>
  <pageSetup paperSize="9" scale="11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100-000003000000}">
          <x14:formula1>
            <xm:f>LISTAS!$A$73:$A$79</xm:f>
          </x14:formula1>
          <xm:sqref>I11 I13:I15 I54:I319 I17:I52</xm:sqref>
        </x14:dataValidation>
        <x14:dataValidation type="list" allowBlank="1" showErrorMessage="1" xr:uid="{00000000-0002-0000-0100-000000000000}">
          <x14:formula1>
            <xm:f>ANEXO!$B$72:$B$119</xm:f>
          </x14:formula1>
          <xm:sqref>J54:J319 J10:J52</xm:sqref>
        </x14:dataValidation>
        <x14:dataValidation type="list" allowBlank="1" showErrorMessage="1" xr:uid="{00000000-0002-0000-0100-000001000000}">
          <x14:formula1>
            <xm:f>LISTAS!$C$13:$C$16</xm:f>
          </x14:formula1>
          <xm:sqref>T54:T319 T11:T52</xm:sqref>
        </x14:dataValidation>
        <x14:dataValidation type="list" allowBlank="1" showErrorMessage="1" xr:uid="{00000000-0002-0000-0100-000004000000}">
          <x14:formula1>
            <xm:f>LISTAS!$E$73:$E$82</xm:f>
          </x14:formula1>
          <xm:sqref>Q54:Q319 Q11:Q52</xm:sqref>
        </x14:dataValidation>
        <x14:dataValidation type="list" allowBlank="1" showErrorMessage="1" xr:uid="{00000000-0002-0000-0100-000005000000}">
          <x14:formula1>
            <xm:f>LISTAS!$C$5:$C$8</xm:f>
          </x14:formula1>
          <xm:sqref>S54:S319 S11:S52</xm:sqref>
        </x14:dataValidation>
        <x14:dataValidation type="list" allowBlank="1" showErrorMessage="1" xr:uid="{00000000-0002-0000-0100-000002000000}">
          <x14:formula1>
            <xm:f>ANEXO!$C$35:$C$38</xm:f>
          </x14:formula1>
          <xm:sqref>W10:W52 W54:W319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C25" workbookViewId="0">
      <selection activeCell="D27" sqref="D27"/>
    </sheetView>
  </sheetViews>
  <sheetFormatPr baseColWidth="10" defaultColWidth="12.5546875" defaultRowHeight="15" customHeight="1" x14ac:dyDescent="0.25"/>
  <cols>
    <col min="1" max="1" width="34.44140625" customWidth="1"/>
    <col min="2" max="2" width="48.77734375" customWidth="1"/>
    <col min="3" max="3" width="40.21875" customWidth="1"/>
    <col min="4" max="4" width="41" customWidth="1"/>
    <col min="5" max="5" width="26.77734375" customWidth="1"/>
    <col min="6" max="7" width="23" customWidth="1"/>
    <col min="8" max="26" width="10.5546875" customWidth="1"/>
  </cols>
  <sheetData>
    <row r="1" spans="1:16" ht="12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spans="1:16" ht="12.75" customHeight="1" x14ac:dyDescent="0.25">
      <c r="A2" s="1"/>
      <c r="B2" s="1"/>
      <c r="C2" s="1"/>
      <c r="D2" s="1"/>
      <c r="E2" s="2"/>
      <c r="F2" s="1"/>
      <c r="G2" s="1"/>
      <c r="H2" s="1"/>
      <c r="I2" s="1"/>
      <c r="J2" s="2"/>
      <c r="K2" s="1"/>
      <c r="L2" s="1"/>
      <c r="M2" s="1"/>
      <c r="N2" s="1"/>
      <c r="O2" s="1"/>
      <c r="P2" s="1"/>
    </row>
    <row r="3" spans="1:16" ht="12.75" customHeight="1" x14ac:dyDescent="0.3">
      <c r="A3" s="1"/>
      <c r="B3" s="308" t="s">
        <v>0</v>
      </c>
      <c r="C3" s="309"/>
      <c r="D3" s="309"/>
      <c r="E3" s="2"/>
      <c r="F3" s="1"/>
      <c r="G3" s="1"/>
      <c r="H3" s="1"/>
      <c r="I3" s="1"/>
      <c r="J3" s="2"/>
      <c r="K3" s="1"/>
      <c r="L3" s="1"/>
      <c r="M3" s="1"/>
      <c r="N3" s="1"/>
      <c r="O3" s="1"/>
      <c r="P3" s="1"/>
    </row>
    <row r="4" spans="1:16" ht="12.75" customHeight="1" x14ac:dyDescent="0.25">
      <c r="A4" s="1"/>
      <c r="B4" s="3" t="s">
        <v>1</v>
      </c>
      <c r="C4" s="4" t="s">
        <v>2</v>
      </c>
      <c r="D4" s="5" t="s">
        <v>3</v>
      </c>
      <c r="E4" s="2"/>
      <c r="F4" s="1"/>
      <c r="G4" s="1"/>
      <c r="H4" s="1"/>
      <c r="I4" s="1"/>
      <c r="J4" s="2"/>
      <c r="K4" s="1"/>
      <c r="L4" s="1"/>
      <c r="M4" s="1"/>
      <c r="N4" s="1"/>
      <c r="O4" s="1"/>
      <c r="P4" s="1"/>
    </row>
    <row r="5" spans="1:16" ht="46.05" customHeight="1" x14ac:dyDescent="0.25">
      <c r="A5" s="1"/>
      <c r="B5" s="6" t="s">
        <v>4</v>
      </c>
      <c r="C5" s="7">
        <v>10</v>
      </c>
      <c r="D5" s="8" t="s">
        <v>5</v>
      </c>
      <c r="E5" s="2"/>
      <c r="F5" s="1"/>
      <c r="G5" s="1"/>
      <c r="H5" s="1"/>
      <c r="I5" s="1"/>
      <c r="J5" s="2"/>
      <c r="K5" s="1"/>
      <c r="L5" s="1"/>
      <c r="M5" s="1"/>
      <c r="N5" s="1"/>
      <c r="O5" s="1"/>
      <c r="P5" s="1"/>
    </row>
    <row r="6" spans="1:16" ht="55.05" customHeight="1" x14ac:dyDescent="0.25">
      <c r="A6" s="1"/>
      <c r="B6" s="6" t="s">
        <v>6</v>
      </c>
      <c r="C6" s="7">
        <v>6</v>
      </c>
      <c r="D6" s="8" t="s">
        <v>7</v>
      </c>
      <c r="E6" s="2"/>
      <c r="F6" s="1"/>
      <c r="G6" s="1"/>
      <c r="H6" s="1"/>
      <c r="I6" s="1"/>
      <c r="J6" s="2"/>
      <c r="K6" s="1"/>
      <c r="L6" s="1"/>
      <c r="M6" s="1"/>
      <c r="N6" s="1"/>
      <c r="O6" s="1"/>
      <c r="P6" s="1"/>
    </row>
    <row r="7" spans="1:16" ht="46.95" customHeight="1" x14ac:dyDescent="0.25">
      <c r="A7" s="1"/>
      <c r="B7" s="6" t="s">
        <v>8</v>
      </c>
      <c r="C7" s="7">
        <v>2</v>
      </c>
      <c r="D7" s="8" t="s">
        <v>9</v>
      </c>
      <c r="E7" s="2"/>
      <c r="F7" s="1"/>
      <c r="G7" s="1"/>
      <c r="H7" s="1"/>
      <c r="I7" s="1"/>
      <c r="J7" s="2"/>
      <c r="K7" s="1"/>
      <c r="L7" s="1"/>
      <c r="M7" s="1"/>
      <c r="N7" s="1"/>
      <c r="O7" s="1"/>
      <c r="P7" s="1"/>
    </row>
    <row r="8" spans="1:16" ht="38.549999999999997" customHeight="1" x14ac:dyDescent="0.25">
      <c r="A8" s="1"/>
      <c r="B8" s="9" t="s">
        <v>10</v>
      </c>
      <c r="C8" s="10" t="s">
        <v>11</v>
      </c>
      <c r="D8" s="11" t="s">
        <v>12</v>
      </c>
      <c r="E8" s="2"/>
      <c r="F8" s="12"/>
      <c r="G8" s="13"/>
      <c r="H8" s="14"/>
      <c r="I8" s="2"/>
      <c r="J8" s="2"/>
      <c r="K8" s="1"/>
      <c r="L8" s="1"/>
      <c r="M8" s="1"/>
      <c r="N8" s="1"/>
      <c r="O8" s="1"/>
      <c r="P8" s="1"/>
    </row>
    <row r="9" spans="1:16" ht="12.75" customHeight="1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/>
      <c r="P9" s="1"/>
    </row>
    <row r="10" spans="1:16" ht="12.75" customHeight="1" x14ac:dyDescent="0.25">
      <c r="A10" s="1"/>
      <c r="B10" s="1"/>
      <c r="C10" s="1"/>
      <c r="D10" s="1"/>
      <c r="E10" s="2"/>
      <c r="F10" s="1"/>
      <c r="G10" s="1"/>
      <c r="H10" s="1"/>
      <c r="I10" s="1"/>
      <c r="J10" s="2"/>
      <c r="K10" s="1"/>
      <c r="L10" s="1"/>
      <c r="M10" s="1"/>
      <c r="N10" s="1"/>
      <c r="O10" s="1"/>
      <c r="P10" s="1"/>
    </row>
    <row r="11" spans="1:16" ht="12.75" customHeight="1" x14ac:dyDescent="0.3">
      <c r="A11" s="1"/>
      <c r="B11" s="310" t="s">
        <v>13</v>
      </c>
      <c r="C11" s="311"/>
      <c r="D11" s="312"/>
      <c r="E11" s="2"/>
      <c r="F11" s="1"/>
      <c r="G11" s="1"/>
      <c r="H11" s="1"/>
      <c r="I11" s="1"/>
      <c r="J11" s="2"/>
      <c r="K11" s="1"/>
      <c r="L11" s="1"/>
      <c r="M11" s="1"/>
      <c r="N11" s="1"/>
      <c r="O11" s="1"/>
      <c r="P11" s="1"/>
    </row>
    <row r="12" spans="1:16" ht="12.75" customHeight="1" x14ac:dyDescent="0.25">
      <c r="A12" s="1"/>
      <c r="B12" s="3" t="s">
        <v>14</v>
      </c>
      <c r="C12" s="4" t="s">
        <v>15</v>
      </c>
      <c r="D12" s="5" t="s">
        <v>3</v>
      </c>
      <c r="E12" s="2"/>
      <c r="F12" s="1"/>
      <c r="G12" s="1"/>
      <c r="H12" s="1"/>
      <c r="I12" s="1"/>
      <c r="J12" s="2"/>
      <c r="K12" s="1"/>
      <c r="L12" s="1"/>
      <c r="M12" s="1"/>
      <c r="N12" s="1"/>
      <c r="O12" s="1"/>
      <c r="P12" s="1"/>
    </row>
    <row r="13" spans="1:16" ht="40.5" customHeight="1" x14ac:dyDescent="0.25">
      <c r="A13" s="1"/>
      <c r="B13" s="15" t="s">
        <v>16</v>
      </c>
      <c r="C13" s="16">
        <v>4</v>
      </c>
      <c r="D13" s="8" t="s">
        <v>17</v>
      </c>
      <c r="E13" s="2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</row>
    <row r="14" spans="1:16" ht="39" customHeight="1" x14ac:dyDescent="0.25">
      <c r="A14" s="1"/>
      <c r="B14" s="15" t="s">
        <v>18</v>
      </c>
      <c r="C14" s="16">
        <v>3</v>
      </c>
      <c r="D14" s="8" t="s">
        <v>19</v>
      </c>
      <c r="E14" s="2"/>
      <c r="F14" s="1"/>
      <c r="G14" s="1"/>
      <c r="H14" s="1"/>
      <c r="I14" s="1"/>
      <c r="J14" s="2"/>
      <c r="K14" s="1"/>
      <c r="L14" s="1"/>
      <c r="M14" s="1"/>
      <c r="N14" s="1"/>
      <c r="O14" s="1"/>
      <c r="P14" s="1"/>
    </row>
    <row r="15" spans="1:16" ht="26.55" customHeight="1" x14ac:dyDescent="0.25">
      <c r="A15" s="1"/>
      <c r="B15" s="15" t="s">
        <v>20</v>
      </c>
      <c r="C15" s="16">
        <v>2</v>
      </c>
      <c r="D15" s="8" t="s">
        <v>21</v>
      </c>
      <c r="E15" s="2"/>
      <c r="F15" s="1"/>
      <c r="G15" s="1"/>
      <c r="H15" s="1"/>
      <c r="I15" s="1"/>
      <c r="J15" s="2"/>
      <c r="K15" s="1"/>
      <c r="L15" s="1"/>
      <c r="M15" s="1"/>
      <c r="N15" s="1"/>
      <c r="O15" s="1"/>
      <c r="P15" s="1"/>
    </row>
    <row r="16" spans="1:16" ht="31.05" customHeight="1" x14ac:dyDescent="0.25">
      <c r="A16" s="1"/>
      <c r="B16" s="17" t="s">
        <v>22</v>
      </c>
      <c r="C16" s="10">
        <v>1</v>
      </c>
      <c r="D16" s="11" t="s">
        <v>23</v>
      </c>
      <c r="E16" s="2"/>
      <c r="F16" s="1"/>
      <c r="G16" s="1"/>
      <c r="H16" s="1"/>
      <c r="I16" s="1"/>
      <c r="J16" s="2"/>
      <c r="K16" s="1"/>
      <c r="L16" s="1"/>
      <c r="M16" s="1"/>
      <c r="N16" s="1"/>
      <c r="O16" s="1"/>
      <c r="P16" s="1"/>
    </row>
    <row r="17" spans="1:16" ht="12.75" customHeight="1" x14ac:dyDescent="0.25">
      <c r="A17" s="1"/>
      <c r="B17" s="18"/>
      <c r="C17" s="18"/>
      <c r="D17" s="18"/>
      <c r="E17" s="2"/>
      <c r="F17" s="13"/>
      <c r="G17" s="13"/>
      <c r="H17" s="14"/>
      <c r="I17" s="14"/>
      <c r="J17" s="2"/>
      <c r="K17" s="1"/>
      <c r="L17" s="1"/>
      <c r="M17" s="1"/>
      <c r="N17" s="1"/>
      <c r="O17" s="1"/>
      <c r="P17" s="1"/>
    </row>
    <row r="18" spans="1:16" ht="12.75" customHeight="1" x14ac:dyDescent="0.3">
      <c r="A18" s="310" t="s">
        <v>24</v>
      </c>
      <c r="B18" s="311"/>
      <c r="C18" s="311"/>
      <c r="D18" s="311"/>
      <c r="E18" s="311"/>
      <c r="F18" s="312"/>
      <c r="G18" s="1"/>
      <c r="H18" s="14"/>
      <c r="I18" s="14"/>
      <c r="J18" s="2"/>
      <c r="K18" s="13"/>
      <c r="L18" s="13"/>
      <c r="M18" s="14"/>
      <c r="N18" s="2"/>
      <c r="O18" s="1"/>
      <c r="P18" s="1"/>
    </row>
    <row r="19" spans="1:16" ht="12.75" customHeight="1" x14ac:dyDescent="0.25">
      <c r="A19" s="313" t="s">
        <v>25</v>
      </c>
      <c r="B19" s="314"/>
      <c r="C19" s="317" t="s">
        <v>26</v>
      </c>
      <c r="D19" s="318"/>
      <c r="E19" s="318"/>
      <c r="F19" s="319"/>
      <c r="G19" s="1"/>
      <c r="H19" s="14"/>
      <c r="I19" s="14"/>
      <c r="J19" s="2"/>
      <c r="K19" s="13"/>
      <c r="L19" s="13"/>
      <c r="M19" s="14"/>
      <c r="N19" s="2"/>
      <c r="O19" s="1"/>
      <c r="P19" s="1"/>
    </row>
    <row r="20" spans="1:16" ht="12.75" customHeight="1" x14ac:dyDescent="0.25">
      <c r="A20" s="315"/>
      <c r="B20" s="316"/>
      <c r="C20" s="16">
        <v>4</v>
      </c>
      <c r="D20" s="7">
        <v>3</v>
      </c>
      <c r="E20" s="7">
        <v>2</v>
      </c>
      <c r="F20" s="7">
        <v>1</v>
      </c>
      <c r="G20" s="1"/>
      <c r="H20" s="14"/>
      <c r="I20" s="14"/>
      <c r="J20" s="2"/>
      <c r="K20" s="13"/>
      <c r="L20" s="13"/>
      <c r="M20" s="14"/>
      <c r="N20" s="2"/>
      <c r="O20" s="1"/>
      <c r="P20" s="1"/>
    </row>
    <row r="21" spans="1:16" ht="12.75" customHeight="1" x14ac:dyDescent="0.25">
      <c r="A21" s="320" t="s">
        <v>27</v>
      </c>
      <c r="B21" s="7">
        <v>10</v>
      </c>
      <c r="C21" s="19" t="s">
        <v>28</v>
      </c>
      <c r="D21" s="19" t="s">
        <v>29</v>
      </c>
      <c r="E21" s="19" t="s">
        <v>30</v>
      </c>
      <c r="F21" s="19" t="s">
        <v>31</v>
      </c>
      <c r="G21" s="1"/>
      <c r="H21" s="14"/>
      <c r="I21" s="14"/>
      <c r="J21" s="2"/>
      <c r="K21" s="13"/>
      <c r="L21" s="13"/>
      <c r="M21" s="14"/>
      <c r="N21" s="2"/>
      <c r="O21" s="1"/>
      <c r="P21" s="1"/>
    </row>
    <row r="22" spans="1:16" ht="12.75" customHeight="1" x14ac:dyDescent="0.25">
      <c r="A22" s="321"/>
      <c r="B22" s="7">
        <v>6</v>
      </c>
      <c r="C22" s="20" t="s">
        <v>32</v>
      </c>
      <c r="D22" s="19" t="s">
        <v>33</v>
      </c>
      <c r="E22" s="19" t="s">
        <v>34</v>
      </c>
      <c r="F22" s="21" t="s">
        <v>35</v>
      </c>
      <c r="G22" s="1"/>
      <c r="H22" s="14"/>
      <c r="I22" s="14"/>
      <c r="J22" s="2"/>
      <c r="K22" s="13"/>
      <c r="L22" s="13"/>
      <c r="M22" s="14"/>
      <c r="N22" s="2"/>
      <c r="O22" s="1"/>
      <c r="P22" s="1"/>
    </row>
    <row r="23" spans="1:16" ht="12.75" customHeight="1" x14ac:dyDescent="0.25">
      <c r="A23" s="322"/>
      <c r="B23" s="7">
        <v>2</v>
      </c>
      <c r="C23" s="22" t="s">
        <v>36</v>
      </c>
      <c r="D23" s="21" t="s">
        <v>35</v>
      </c>
      <c r="E23" s="7" t="s">
        <v>37</v>
      </c>
      <c r="F23" s="7" t="s">
        <v>38</v>
      </c>
      <c r="G23" s="1"/>
      <c r="H23" s="14"/>
      <c r="I23" s="14"/>
      <c r="J23" s="2"/>
      <c r="K23" s="13"/>
      <c r="L23" s="13"/>
      <c r="M23" s="14"/>
      <c r="N23" s="2"/>
      <c r="O23" s="1"/>
      <c r="P23" s="1"/>
    </row>
    <row r="24" spans="1:16" ht="12.75" customHeight="1" x14ac:dyDescent="0.25">
      <c r="A24" s="18"/>
      <c r="B24" s="1"/>
      <c r="C24" s="1"/>
      <c r="D24" s="1"/>
      <c r="E24" s="2"/>
      <c r="F24" s="13"/>
      <c r="G24" s="1"/>
      <c r="H24" s="14"/>
      <c r="I24" s="14"/>
      <c r="J24" s="2"/>
      <c r="K24" s="13"/>
      <c r="L24" s="13"/>
      <c r="M24" s="14"/>
      <c r="N24" s="2"/>
      <c r="O24" s="1"/>
      <c r="P24" s="1"/>
    </row>
    <row r="25" spans="1:16" ht="12.75" customHeight="1" x14ac:dyDescent="0.25">
      <c r="A25" s="18"/>
      <c r="B25" s="323" t="s">
        <v>39</v>
      </c>
      <c r="C25" s="311"/>
      <c r="D25" s="312"/>
      <c r="E25" s="2"/>
      <c r="F25" s="13"/>
      <c r="G25" s="1"/>
      <c r="H25" s="14"/>
      <c r="I25" s="14"/>
      <c r="J25" s="2"/>
      <c r="K25" s="13"/>
      <c r="L25" s="13"/>
      <c r="M25" s="14"/>
      <c r="N25" s="2"/>
      <c r="O25" s="1"/>
      <c r="P25" s="1"/>
    </row>
    <row r="26" spans="1:16" ht="12.75" customHeight="1" x14ac:dyDescent="0.25">
      <c r="A26" s="18"/>
      <c r="B26" s="3" t="s">
        <v>25</v>
      </c>
      <c r="C26" s="4" t="s">
        <v>40</v>
      </c>
      <c r="D26" s="5" t="s">
        <v>3</v>
      </c>
      <c r="E26" s="2"/>
      <c r="F26" s="13"/>
      <c r="G26" s="1"/>
      <c r="H26" s="14"/>
      <c r="I26" s="14"/>
      <c r="J26" s="2"/>
      <c r="K26" s="13"/>
      <c r="L26" s="13"/>
      <c r="M26" s="14"/>
      <c r="N26" s="2"/>
      <c r="O26" s="1"/>
      <c r="P26" s="1"/>
    </row>
    <row r="27" spans="1:16" ht="40.5" customHeight="1" x14ac:dyDescent="0.25">
      <c r="A27" s="18"/>
      <c r="B27" s="15" t="s">
        <v>4</v>
      </c>
      <c r="C27" s="16" t="s">
        <v>41</v>
      </c>
      <c r="D27" s="8" t="s">
        <v>42</v>
      </c>
      <c r="E27" s="2"/>
      <c r="F27" s="13"/>
      <c r="G27" s="1"/>
      <c r="H27" s="14"/>
      <c r="I27" s="14"/>
      <c r="J27" s="2"/>
      <c r="K27" s="13"/>
      <c r="L27" s="13"/>
      <c r="M27" s="14"/>
      <c r="N27" s="2"/>
      <c r="O27" s="1"/>
      <c r="P27" s="1"/>
    </row>
    <row r="28" spans="1:16" ht="46.05" customHeight="1" x14ac:dyDescent="0.25">
      <c r="A28" s="18"/>
      <c r="B28" s="15" t="s">
        <v>6</v>
      </c>
      <c r="C28" s="16" t="s">
        <v>43</v>
      </c>
      <c r="D28" s="8" t="s">
        <v>44</v>
      </c>
      <c r="E28" s="2"/>
      <c r="F28" s="13"/>
      <c r="G28" s="1"/>
      <c r="H28" s="14"/>
      <c r="I28" s="14"/>
      <c r="J28" s="2"/>
      <c r="K28" s="13"/>
      <c r="L28" s="13"/>
      <c r="M28" s="14"/>
      <c r="N28" s="2"/>
      <c r="O28" s="1"/>
      <c r="P28" s="1"/>
    </row>
    <row r="29" spans="1:16" ht="38.549999999999997" customHeight="1" x14ac:dyDescent="0.25">
      <c r="A29" s="18"/>
      <c r="B29" s="15" t="s">
        <v>8</v>
      </c>
      <c r="C29" s="16" t="s">
        <v>45</v>
      </c>
      <c r="D29" s="8" t="s">
        <v>46</v>
      </c>
      <c r="E29" s="2"/>
      <c r="F29" s="13"/>
      <c r="G29" s="1"/>
      <c r="H29" s="14"/>
      <c r="I29" s="14"/>
      <c r="J29" s="2"/>
      <c r="K29" s="13"/>
      <c r="L29" s="13"/>
      <c r="M29" s="14"/>
      <c r="N29" s="2"/>
      <c r="O29" s="1"/>
      <c r="P29" s="1"/>
    </row>
    <row r="30" spans="1:16" ht="52.05" customHeight="1" x14ac:dyDescent="0.25">
      <c r="A30" s="18"/>
      <c r="B30" s="17" t="s">
        <v>10</v>
      </c>
      <c r="C30" s="10" t="s">
        <v>47</v>
      </c>
      <c r="D30" s="11" t="s">
        <v>48</v>
      </c>
      <c r="E30" s="2"/>
      <c r="F30" s="13"/>
      <c r="G30" s="1"/>
      <c r="H30" s="14"/>
      <c r="I30" s="14"/>
      <c r="J30" s="2"/>
      <c r="K30" s="13"/>
      <c r="L30" s="13"/>
      <c r="M30" s="14"/>
      <c r="N30" s="2"/>
      <c r="O30" s="1"/>
      <c r="P30" s="1"/>
    </row>
    <row r="31" spans="1:16" ht="12.75" customHeight="1" x14ac:dyDescent="0.25">
      <c r="A31" s="18"/>
      <c r="B31" s="18"/>
      <c r="C31" s="18"/>
      <c r="D31" s="18"/>
      <c r="E31" s="2"/>
      <c r="F31" s="13"/>
      <c r="G31" s="1"/>
      <c r="H31" s="14"/>
      <c r="I31" s="14"/>
      <c r="J31" s="2"/>
      <c r="K31" s="13"/>
      <c r="L31" s="13"/>
      <c r="M31" s="14"/>
      <c r="N31" s="2"/>
      <c r="O31" s="1"/>
      <c r="P31" s="1"/>
    </row>
    <row r="32" spans="1:16" ht="12.75" customHeight="1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</row>
    <row r="33" spans="1:16" ht="12.75" customHeight="1" x14ac:dyDescent="0.25">
      <c r="A33" s="1"/>
      <c r="B33" s="323" t="s">
        <v>49</v>
      </c>
      <c r="C33" s="311"/>
      <c r="D33" s="312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</row>
    <row r="34" spans="1:16" ht="12.75" customHeight="1" x14ac:dyDescent="0.25">
      <c r="A34" s="1"/>
      <c r="B34" s="332" t="s">
        <v>50</v>
      </c>
      <c r="C34" s="332" t="s">
        <v>51</v>
      </c>
      <c r="D34" s="23" t="s">
        <v>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</row>
    <row r="35" spans="1:16" ht="12.75" customHeight="1" x14ac:dyDescent="0.25">
      <c r="A35" s="1"/>
      <c r="B35" s="322"/>
      <c r="C35" s="322"/>
      <c r="D35" s="23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</row>
    <row r="36" spans="1:16" ht="35.549999999999997" customHeight="1" x14ac:dyDescent="0.25">
      <c r="A36" s="1"/>
      <c r="B36" s="24" t="s">
        <v>53</v>
      </c>
      <c r="C36" s="7">
        <v>100</v>
      </c>
      <c r="D36" s="25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</row>
    <row r="37" spans="1:16" ht="34.950000000000003" customHeight="1" x14ac:dyDescent="0.25">
      <c r="A37" s="1"/>
      <c r="B37" s="24" t="s">
        <v>55</v>
      </c>
      <c r="C37" s="7">
        <v>60</v>
      </c>
      <c r="D37" s="25" t="s">
        <v>56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</row>
    <row r="38" spans="1:16" ht="12.75" customHeight="1" x14ac:dyDescent="0.25">
      <c r="A38" s="1"/>
      <c r="B38" s="24" t="s">
        <v>57</v>
      </c>
      <c r="C38" s="7">
        <v>25</v>
      </c>
      <c r="D38" s="25" t="s">
        <v>58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1"/>
    </row>
    <row r="39" spans="1:16" ht="12.75" customHeight="1" x14ac:dyDescent="0.25">
      <c r="A39" s="1"/>
      <c r="B39" s="24" t="s">
        <v>59</v>
      </c>
      <c r="C39" s="7">
        <v>10</v>
      </c>
      <c r="D39" s="25" t="s">
        <v>60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</row>
    <row r="40" spans="1:16" ht="12.75" customHeight="1" x14ac:dyDescent="0.25">
      <c r="A40" s="1"/>
      <c r="B40" s="12"/>
      <c r="C40" s="13"/>
      <c r="D40" s="14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</row>
    <row r="41" spans="1:16" ht="12.75" customHeight="1" x14ac:dyDescent="0.25">
      <c r="A41" s="1"/>
      <c r="B41" s="327" t="s">
        <v>61</v>
      </c>
      <c r="C41" s="311"/>
      <c r="D41" s="311"/>
      <c r="E41" s="311"/>
      <c r="F41" s="311"/>
      <c r="G41" s="312"/>
      <c r="H41" s="2"/>
      <c r="I41" s="2"/>
      <c r="J41" s="2"/>
      <c r="K41" s="2"/>
      <c r="L41" s="2"/>
      <c r="M41" s="2"/>
      <c r="N41" s="2"/>
      <c r="O41" s="1"/>
      <c r="P41" s="1"/>
    </row>
    <row r="42" spans="1:16" ht="12.75" customHeight="1" x14ac:dyDescent="0.25">
      <c r="B42" s="333" t="s">
        <v>62</v>
      </c>
      <c r="C42" s="334"/>
      <c r="D42" s="317" t="s">
        <v>63</v>
      </c>
      <c r="E42" s="318"/>
      <c r="F42" s="318"/>
      <c r="G42" s="319"/>
      <c r="H42" s="2"/>
      <c r="I42" s="2"/>
      <c r="J42" s="2"/>
      <c r="K42" s="2"/>
      <c r="L42" s="2"/>
      <c r="M42" s="2"/>
      <c r="N42" s="2"/>
      <c r="O42" s="1"/>
      <c r="P42" s="1"/>
    </row>
    <row r="43" spans="1:16" ht="12.75" customHeight="1" x14ac:dyDescent="0.25">
      <c r="A43" s="1"/>
      <c r="B43" s="335"/>
      <c r="C43" s="316"/>
      <c r="D43" s="25" t="s">
        <v>64</v>
      </c>
      <c r="E43" s="26" t="s">
        <v>65</v>
      </c>
      <c r="F43" s="27" t="s">
        <v>66</v>
      </c>
      <c r="G43" s="27" t="s">
        <v>67</v>
      </c>
      <c r="H43" s="2"/>
      <c r="I43" s="2"/>
      <c r="J43" s="2"/>
      <c r="K43" s="2"/>
      <c r="L43" s="2"/>
      <c r="M43" s="2"/>
      <c r="N43" s="2"/>
      <c r="O43" s="1"/>
      <c r="P43" s="1"/>
    </row>
    <row r="44" spans="1:16" ht="12.75" customHeight="1" x14ac:dyDescent="0.25">
      <c r="A44" s="1"/>
      <c r="B44" s="320" t="s">
        <v>68</v>
      </c>
      <c r="C44" s="7">
        <v>100</v>
      </c>
      <c r="D44" s="28" t="s">
        <v>69</v>
      </c>
      <c r="E44" s="29" t="s">
        <v>70</v>
      </c>
      <c r="F44" s="29" t="s">
        <v>71</v>
      </c>
      <c r="G44" s="30" t="s">
        <v>72</v>
      </c>
      <c r="H44" s="2"/>
      <c r="I44" s="2"/>
      <c r="J44" s="2"/>
      <c r="K44" s="2"/>
      <c r="L44" s="2"/>
      <c r="M44" s="2"/>
      <c r="N44" s="2"/>
      <c r="O44" s="1"/>
      <c r="P44" s="1"/>
    </row>
    <row r="45" spans="1:16" ht="12.75" customHeight="1" x14ac:dyDescent="0.25">
      <c r="A45" s="1"/>
      <c r="B45" s="321"/>
      <c r="C45" s="324">
        <v>60</v>
      </c>
      <c r="D45" s="325" t="s">
        <v>73</v>
      </c>
      <c r="E45" s="325" t="s">
        <v>74</v>
      </c>
      <c r="F45" s="326" t="s">
        <v>75</v>
      </c>
      <c r="G45" s="30" t="s">
        <v>76</v>
      </c>
      <c r="H45" s="2"/>
      <c r="I45" s="2"/>
      <c r="J45" s="2"/>
      <c r="K45" s="2"/>
      <c r="L45" s="2"/>
      <c r="M45" s="2"/>
      <c r="N45" s="2"/>
      <c r="O45" s="1"/>
      <c r="P45" s="1"/>
    </row>
    <row r="46" spans="1:16" ht="12.75" customHeight="1" x14ac:dyDescent="0.25">
      <c r="A46" s="1"/>
      <c r="B46" s="321"/>
      <c r="C46" s="322"/>
      <c r="D46" s="322"/>
      <c r="E46" s="322"/>
      <c r="F46" s="322"/>
      <c r="G46" s="31" t="s">
        <v>77</v>
      </c>
      <c r="H46" s="2"/>
      <c r="I46" s="2"/>
      <c r="J46" s="2"/>
      <c r="K46" s="2"/>
      <c r="L46" s="2"/>
      <c r="M46" s="2"/>
      <c r="N46" s="2"/>
      <c r="O46" s="1"/>
      <c r="P46" s="1"/>
    </row>
    <row r="47" spans="1:16" ht="12.75" customHeight="1" x14ac:dyDescent="0.25">
      <c r="A47" s="1"/>
      <c r="B47" s="321"/>
      <c r="C47" s="7">
        <v>25</v>
      </c>
      <c r="D47" s="28" t="s">
        <v>78</v>
      </c>
      <c r="E47" s="32" t="s">
        <v>79</v>
      </c>
      <c r="F47" s="32" t="s">
        <v>80</v>
      </c>
      <c r="G47" s="33" t="s">
        <v>81</v>
      </c>
      <c r="H47" s="2"/>
      <c r="I47" s="2"/>
      <c r="J47" s="2"/>
      <c r="K47" s="2"/>
      <c r="L47" s="2"/>
      <c r="M47" s="2"/>
      <c r="N47" s="2"/>
      <c r="O47" s="1"/>
      <c r="P47" s="1"/>
    </row>
    <row r="48" spans="1:16" ht="12.75" customHeight="1" x14ac:dyDescent="0.25">
      <c r="A48" s="1"/>
      <c r="B48" s="321"/>
      <c r="C48" s="324">
        <v>10</v>
      </c>
      <c r="D48" s="326" t="s">
        <v>82</v>
      </c>
      <c r="E48" s="32" t="s">
        <v>83</v>
      </c>
      <c r="F48" s="330" t="s">
        <v>84</v>
      </c>
      <c r="G48" s="331" t="s">
        <v>85</v>
      </c>
      <c r="H48" s="2"/>
      <c r="I48" s="2"/>
      <c r="J48" s="2"/>
      <c r="K48" s="2"/>
      <c r="L48" s="2"/>
      <c r="M48" s="2"/>
      <c r="N48" s="2"/>
      <c r="O48" s="1"/>
      <c r="P48" s="1"/>
    </row>
    <row r="49" spans="1:16" ht="12.75" customHeight="1" x14ac:dyDescent="0.25">
      <c r="A49" s="1"/>
      <c r="B49" s="322"/>
      <c r="C49" s="322"/>
      <c r="D49" s="322"/>
      <c r="E49" s="34" t="s">
        <v>86</v>
      </c>
      <c r="F49" s="322"/>
      <c r="G49" s="322"/>
      <c r="H49" s="2"/>
      <c r="I49" s="2"/>
      <c r="J49" s="2"/>
      <c r="K49" s="2"/>
      <c r="L49" s="2"/>
      <c r="M49" s="2"/>
      <c r="N49" s="2"/>
      <c r="O49" s="1"/>
      <c r="P49" s="1"/>
    </row>
    <row r="50" spans="1:16" ht="12.75" customHeight="1" x14ac:dyDescent="0.25">
      <c r="A50" s="1"/>
      <c r="B50" s="18"/>
      <c r="C50" s="13"/>
      <c r="D50" s="35"/>
      <c r="E50" s="36"/>
      <c r="F50" s="37"/>
      <c r="G50" s="35"/>
      <c r="H50" s="2"/>
      <c r="I50" s="2"/>
      <c r="J50" s="2"/>
      <c r="K50" s="2"/>
      <c r="L50" s="2"/>
      <c r="M50" s="2"/>
      <c r="N50" s="2"/>
      <c r="O50" s="1"/>
      <c r="P50" s="1"/>
    </row>
    <row r="51" spans="1:16" ht="12.75" customHeight="1" x14ac:dyDescent="0.25">
      <c r="A51" s="1"/>
      <c r="B51" s="18"/>
      <c r="C51" s="13"/>
      <c r="D51" s="35"/>
      <c r="E51" s="36"/>
      <c r="F51" s="37"/>
      <c r="G51" s="35"/>
      <c r="H51" s="2"/>
      <c r="I51" s="2"/>
      <c r="J51" s="2"/>
      <c r="K51" s="2"/>
      <c r="L51" s="2"/>
      <c r="M51" s="2"/>
      <c r="N51" s="2"/>
      <c r="O51" s="1"/>
      <c r="P51" s="1"/>
    </row>
    <row r="52" spans="1:16" ht="12.75" customHeight="1" x14ac:dyDescent="0.25">
      <c r="A52" s="1"/>
      <c r="B52" s="1"/>
      <c r="C52" s="1"/>
      <c r="D52" s="1"/>
      <c r="E52" s="2"/>
      <c r="F52" s="37"/>
      <c r="G52" s="35"/>
      <c r="H52" s="2"/>
      <c r="I52" s="2"/>
      <c r="J52" s="2"/>
      <c r="K52" s="2"/>
      <c r="L52" s="2"/>
      <c r="M52" s="2"/>
      <c r="N52" s="2"/>
      <c r="O52" s="1"/>
      <c r="P52" s="1"/>
    </row>
    <row r="53" spans="1:16" ht="12.75" customHeight="1" x14ac:dyDescent="0.25">
      <c r="A53" s="1"/>
      <c r="B53" s="327" t="s">
        <v>87</v>
      </c>
      <c r="C53" s="311"/>
      <c r="D53" s="312"/>
      <c r="E53" s="2"/>
      <c r="F53" s="37"/>
      <c r="G53" s="35"/>
      <c r="H53" s="2"/>
      <c r="I53" s="2"/>
      <c r="J53" s="2"/>
      <c r="K53" s="2"/>
      <c r="L53" s="2"/>
      <c r="M53" s="2"/>
      <c r="N53" s="2"/>
      <c r="O53" s="1"/>
      <c r="P53" s="1"/>
    </row>
    <row r="54" spans="1:16" ht="12.75" customHeight="1" x14ac:dyDescent="0.25">
      <c r="A54" s="1"/>
      <c r="B54" s="38" t="s">
        <v>88</v>
      </c>
      <c r="C54" s="38" t="s">
        <v>89</v>
      </c>
      <c r="D54" s="39" t="s">
        <v>3</v>
      </c>
      <c r="E54" s="2"/>
      <c r="F54" s="37"/>
      <c r="G54" s="35"/>
      <c r="H54" s="2"/>
      <c r="I54" s="2"/>
      <c r="J54" s="2"/>
      <c r="K54" s="2"/>
      <c r="L54" s="2"/>
      <c r="M54" s="2"/>
      <c r="N54" s="2"/>
      <c r="O54" s="1"/>
      <c r="P54" s="1"/>
    </row>
    <row r="55" spans="1:16" ht="12.75" customHeight="1" x14ac:dyDescent="0.25">
      <c r="A55" s="1"/>
      <c r="B55" s="7" t="s">
        <v>90</v>
      </c>
      <c r="C55" s="7" t="s">
        <v>91</v>
      </c>
      <c r="D55" s="25" t="s">
        <v>92</v>
      </c>
      <c r="E55" s="2"/>
      <c r="F55" s="37"/>
      <c r="G55" s="35"/>
      <c r="H55" s="2"/>
      <c r="I55" s="2"/>
      <c r="J55" s="2"/>
      <c r="K55" s="2"/>
      <c r="L55" s="2"/>
      <c r="M55" s="2"/>
      <c r="N55" s="2"/>
      <c r="O55" s="1"/>
      <c r="P55" s="1"/>
    </row>
    <row r="56" spans="1:16" ht="12.75" customHeight="1" x14ac:dyDescent="0.25">
      <c r="A56" s="1"/>
      <c r="B56" s="7" t="s">
        <v>93</v>
      </c>
      <c r="C56" s="7" t="s">
        <v>94</v>
      </c>
      <c r="D56" s="25" t="s">
        <v>95</v>
      </c>
      <c r="E56" s="2"/>
      <c r="F56" s="37"/>
      <c r="G56" s="35"/>
      <c r="H56" s="2"/>
      <c r="I56" s="2"/>
      <c r="J56" s="2"/>
      <c r="K56" s="2"/>
      <c r="L56" s="2"/>
      <c r="M56" s="2"/>
      <c r="N56" s="2"/>
      <c r="O56" s="1"/>
      <c r="P56" s="1"/>
    </row>
    <row r="57" spans="1:16" ht="12.75" customHeight="1" x14ac:dyDescent="0.25">
      <c r="A57" s="1"/>
      <c r="B57" s="7" t="s">
        <v>96</v>
      </c>
      <c r="C57" s="7" t="s">
        <v>97</v>
      </c>
      <c r="D57" s="25" t="s">
        <v>98</v>
      </c>
      <c r="E57" s="2"/>
      <c r="F57" s="37"/>
      <c r="G57" s="35"/>
      <c r="H57" s="2"/>
      <c r="I57" s="2"/>
      <c r="J57" s="2"/>
      <c r="K57" s="2"/>
      <c r="L57" s="2"/>
      <c r="M57" s="2"/>
      <c r="N57" s="2"/>
      <c r="O57" s="1"/>
      <c r="P57" s="1"/>
    </row>
    <row r="58" spans="1:16" ht="12.75" customHeight="1" x14ac:dyDescent="0.25">
      <c r="A58" s="1"/>
      <c r="B58" s="7" t="s">
        <v>99</v>
      </c>
      <c r="C58" s="7">
        <v>20</v>
      </c>
      <c r="D58" s="25" t="s">
        <v>100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</row>
    <row r="59" spans="1:16" ht="12.75" customHeight="1" x14ac:dyDescent="0.25">
      <c r="A59" s="1"/>
      <c r="B59" s="13"/>
      <c r="C59" s="13"/>
      <c r="D59" s="14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</row>
    <row r="60" spans="1:16" ht="12.75" customHeight="1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</row>
    <row r="61" spans="1:16" ht="12.75" customHeight="1" x14ac:dyDescent="0.25">
      <c r="A61" s="1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</row>
    <row r="62" spans="1:16" ht="12.75" customHeight="1" x14ac:dyDescent="0.25">
      <c r="A62" s="1"/>
      <c r="B62" s="2"/>
      <c r="C62" s="328" t="s">
        <v>101</v>
      </c>
      <c r="D62" s="329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</row>
    <row r="63" spans="1:16" ht="12.75" customHeight="1" x14ac:dyDescent="0.25">
      <c r="A63" s="1"/>
      <c r="B63" s="2"/>
      <c r="C63" s="40" t="s">
        <v>88</v>
      </c>
      <c r="D63" s="23" t="s">
        <v>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</row>
    <row r="64" spans="1:16" ht="12.75" customHeight="1" x14ac:dyDescent="0.25">
      <c r="A64" s="1"/>
      <c r="B64" s="2"/>
      <c r="C64" s="7" t="s">
        <v>90</v>
      </c>
      <c r="D64" s="25" t="s">
        <v>102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</row>
    <row r="65" spans="1:26" ht="12.75" customHeight="1" x14ac:dyDescent="0.25">
      <c r="A65" s="1"/>
      <c r="B65" s="2"/>
      <c r="C65" s="7" t="s">
        <v>93</v>
      </c>
      <c r="D65" s="25" t="s">
        <v>103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</row>
    <row r="66" spans="1:26" ht="12.75" customHeight="1" x14ac:dyDescent="0.25">
      <c r="A66" s="1"/>
      <c r="B66" s="2"/>
      <c r="C66" s="7" t="s">
        <v>96</v>
      </c>
      <c r="D66" s="25" t="s">
        <v>104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</row>
    <row r="67" spans="1:26" ht="12.75" customHeight="1" x14ac:dyDescent="0.25">
      <c r="A67" s="1"/>
      <c r="B67" s="2"/>
      <c r="C67" s="7" t="s">
        <v>99</v>
      </c>
      <c r="D67" s="25" t="s">
        <v>104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</row>
    <row r="68" spans="1:26" ht="12.75" customHeight="1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</row>
    <row r="69" spans="1:26" ht="12.75" customHeigh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6" ht="12.75" customHeight="1" x14ac:dyDescent="0.25">
      <c r="A72" s="41" t="s">
        <v>105</v>
      </c>
      <c r="B72" s="41" t="s">
        <v>106</v>
      </c>
      <c r="C72" s="42" t="s">
        <v>107</v>
      </c>
      <c r="D72" s="41" t="s">
        <v>108</v>
      </c>
      <c r="E72" s="43" t="s">
        <v>109</v>
      </c>
      <c r="F72" s="43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6" ht="12.75" customHeight="1" x14ac:dyDescent="0.25">
      <c r="A73" s="44" t="s">
        <v>110</v>
      </c>
      <c r="B73" s="45" t="s">
        <v>111</v>
      </c>
      <c r="C73" s="46" t="s">
        <v>112</v>
      </c>
      <c r="D73" s="45" t="s">
        <v>113</v>
      </c>
      <c r="E73" s="47" t="s">
        <v>114</v>
      </c>
      <c r="F73" s="47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6" ht="22.5" customHeight="1" x14ac:dyDescent="0.25">
      <c r="A74" s="48" t="s">
        <v>115</v>
      </c>
      <c r="B74" s="47" t="s">
        <v>116</v>
      </c>
      <c r="C74" s="49" t="s">
        <v>117</v>
      </c>
      <c r="D74" s="49" t="s">
        <v>118</v>
      </c>
      <c r="E74" s="47" t="s">
        <v>119</v>
      </c>
      <c r="F74" s="47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6" ht="12.75" customHeight="1" x14ac:dyDescent="0.25">
      <c r="A75" s="44" t="s">
        <v>120</v>
      </c>
      <c r="B75" s="45" t="s">
        <v>121</v>
      </c>
      <c r="C75" s="46" t="s">
        <v>122</v>
      </c>
      <c r="D75" s="45" t="s">
        <v>123</v>
      </c>
      <c r="E75" s="47" t="s">
        <v>124</v>
      </c>
      <c r="F75" s="47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6" ht="12.75" customHeight="1" x14ac:dyDescent="0.25">
      <c r="A76" s="44" t="s">
        <v>125</v>
      </c>
      <c r="B76" s="45" t="s">
        <v>126</v>
      </c>
      <c r="C76" s="46" t="s">
        <v>127</v>
      </c>
      <c r="D76" s="45" t="s">
        <v>128</v>
      </c>
      <c r="E76" s="47" t="s">
        <v>129</v>
      </c>
      <c r="F76" s="47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6" ht="12.75" customHeight="1" x14ac:dyDescent="0.25">
      <c r="A77" s="44" t="s">
        <v>130</v>
      </c>
      <c r="B77" s="45" t="s">
        <v>131</v>
      </c>
      <c r="C77" s="46" t="s">
        <v>132</v>
      </c>
      <c r="D77" s="45" t="s">
        <v>133</v>
      </c>
      <c r="E77" s="50" t="s">
        <v>134</v>
      </c>
      <c r="F77" s="50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6" ht="14.25" customHeight="1" x14ac:dyDescent="0.25">
      <c r="A78" s="44" t="s">
        <v>135</v>
      </c>
      <c r="B78" s="45" t="s">
        <v>136</v>
      </c>
      <c r="C78" s="46" t="s">
        <v>137</v>
      </c>
      <c r="D78" s="45" t="s">
        <v>138</v>
      </c>
      <c r="E78" s="50" t="s">
        <v>139</v>
      </c>
      <c r="F78" s="50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6" ht="27" customHeight="1" x14ac:dyDescent="0.25">
      <c r="A79" s="48" t="s">
        <v>140</v>
      </c>
      <c r="B79" s="47" t="s">
        <v>141</v>
      </c>
      <c r="C79" s="50" t="s">
        <v>142</v>
      </c>
      <c r="D79" s="50" t="s">
        <v>143</v>
      </c>
      <c r="E79" s="50" t="s">
        <v>144</v>
      </c>
      <c r="F79" s="50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.75" customHeight="1" x14ac:dyDescent="0.25">
      <c r="A80" s="44"/>
      <c r="B80" s="304" t="s">
        <v>145</v>
      </c>
      <c r="C80" s="306" t="s">
        <v>146</v>
      </c>
      <c r="D80" s="304" t="s">
        <v>147</v>
      </c>
      <c r="E80" s="50" t="s">
        <v>148</v>
      </c>
      <c r="F80" s="50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26" s="131" customFormat="1" ht="12.75" customHeight="1" x14ac:dyDescent="0.25">
      <c r="A81" s="195"/>
      <c r="B81" s="305"/>
      <c r="C81" s="307"/>
      <c r="D81" s="305"/>
      <c r="E81" s="197" t="s">
        <v>389</v>
      </c>
      <c r="F81" s="50"/>
      <c r="G81" s="196"/>
      <c r="H81" s="196"/>
      <c r="I81" s="196"/>
      <c r="J81" s="196"/>
      <c r="K81" s="196"/>
      <c r="L81" s="196"/>
      <c r="M81" s="196"/>
      <c r="N81" s="196"/>
      <c r="O81" s="196"/>
      <c r="P81" s="196"/>
    </row>
    <row r="82" spans="1:26" ht="16.05" customHeight="1" x14ac:dyDescent="0.25">
      <c r="B82" s="45" t="s">
        <v>149</v>
      </c>
      <c r="C82" s="46" t="s">
        <v>150</v>
      </c>
      <c r="D82" s="45" t="s">
        <v>151</v>
      </c>
      <c r="E82" s="47" t="s">
        <v>152</v>
      </c>
      <c r="F82" s="47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26" ht="12.75" customHeight="1" x14ac:dyDescent="0.25">
      <c r="A83" s="44"/>
      <c r="B83" s="45" t="s">
        <v>153</v>
      </c>
      <c r="C83" s="46" t="s">
        <v>154</v>
      </c>
      <c r="D83" s="45" t="s">
        <v>155</v>
      </c>
      <c r="E83" s="194"/>
      <c r="F83" s="53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26" ht="12.75" customHeight="1" x14ac:dyDescent="0.25">
      <c r="A84" s="44"/>
      <c r="B84" s="45" t="s">
        <v>156</v>
      </c>
      <c r="C84" s="46" t="s">
        <v>157</v>
      </c>
      <c r="D84" s="45" t="s">
        <v>158</v>
      </c>
      <c r="E84" s="336"/>
      <c r="F84" s="319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26" ht="25.5" customHeight="1" x14ac:dyDescent="0.25">
      <c r="A85" s="44"/>
      <c r="B85" s="45" t="s">
        <v>159</v>
      </c>
      <c r="C85" s="46" t="s">
        <v>160</v>
      </c>
      <c r="D85" s="50" t="s">
        <v>161</v>
      </c>
      <c r="E85" s="336"/>
      <c r="F85" s="319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26" ht="39" customHeight="1" x14ac:dyDescent="0.25">
      <c r="A86" s="48"/>
      <c r="B86" s="47" t="s">
        <v>162</v>
      </c>
      <c r="C86" s="50" t="s">
        <v>163</v>
      </c>
      <c r="D86" s="50" t="s">
        <v>164</v>
      </c>
      <c r="E86" s="337"/>
      <c r="F86" s="319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.75" customHeight="1" x14ac:dyDescent="0.25">
      <c r="A87" s="44"/>
      <c r="B87" s="45" t="s">
        <v>165</v>
      </c>
      <c r="C87" s="46" t="s">
        <v>166</v>
      </c>
      <c r="D87" s="45"/>
      <c r="E87" s="338"/>
      <c r="F87" s="309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6" ht="30.75" customHeight="1" x14ac:dyDescent="0.25">
      <c r="A88" s="44"/>
      <c r="B88" s="50" t="s">
        <v>167</v>
      </c>
      <c r="C88" s="50" t="s">
        <v>168</v>
      </c>
      <c r="D88" s="47"/>
      <c r="E88" s="338"/>
      <c r="F88" s="309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6" ht="12.75" customHeight="1" x14ac:dyDescent="0.25">
      <c r="B89" s="45" t="s">
        <v>169</v>
      </c>
      <c r="C89" s="46" t="s">
        <v>170</v>
      </c>
      <c r="D89" s="45"/>
      <c r="E89" s="338"/>
      <c r="F89" s="309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6" ht="12.75" customHeight="1" x14ac:dyDescent="0.25">
      <c r="A90" s="44"/>
      <c r="B90" s="45" t="s">
        <v>171</v>
      </c>
      <c r="C90" s="46" t="s">
        <v>172</v>
      </c>
      <c r="D90" s="45"/>
      <c r="E90" s="338"/>
      <c r="F90" s="309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26" ht="12.75" customHeight="1" x14ac:dyDescent="0.25">
      <c r="A91" s="44"/>
      <c r="B91" s="45" t="s">
        <v>173</v>
      </c>
      <c r="C91" s="46" t="s">
        <v>174</v>
      </c>
      <c r="D91" s="45"/>
      <c r="E91" s="338"/>
      <c r="F91" s="309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6" ht="12.75" customHeight="1" x14ac:dyDescent="0.25">
      <c r="A92" s="44"/>
      <c r="B92" s="45" t="s">
        <v>175</v>
      </c>
      <c r="C92" s="46" t="s">
        <v>176</v>
      </c>
      <c r="D92" s="45"/>
      <c r="E92" s="338"/>
      <c r="F92" s="309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6" ht="12.75" customHeight="1" x14ac:dyDescent="0.25">
      <c r="A93" s="44"/>
      <c r="B93" s="45" t="s">
        <v>177</v>
      </c>
      <c r="C93" s="46" t="s">
        <v>178</v>
      </c>
      <c r="D93" s="45"/>
      <c r="E93" s="338"/>
      <c r="F93" s="309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26" ht="12.75" customHeight="1" x14ac:dyDescent="0.25">
      <c r="A94" s="44"/>
      <c r="B94" s="45" t="s">
        <v>179</v>
      </c>
      <c r="C94" s="46" t="s">
        <v>180</v>
      </c>
      <c r="D94" s="45"/>
      <c r="E94" s="338"/>
      <c r="F94" s="309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26" ht="12.75" customHeight="1" x14ac:dyDescent="0.25">
      <c r="A95" s="44"/>
      <c r="B95" s="49" t="s">
        <v>181</v>
      </c>
      <c r="C95" s="50" t="s">
        <v>182</v>
      </c>
      <c r="D95" s="45"/>
      <c r="E95" s="338"/>
      <c r="F95" s="309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26" ht="12.75" customHeight="1" x14ac:dyDescent="0.25">
      <c r="A96" s="44"/>
      <c r="B96" s="46" t="s">
        <v>183</v>
      </c>
      <c r="C96" s="49" t="s">
        <v>184</v>
      </c>
      <c r="D96" s="45"/>
      <c r="E96" s="338"/>
      <c r="F96" s="309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2.75" customHeight="1" x14ac:dyDescent="0.25">
      <c r="A97" s="44"/>
      <c r="B97" s="46" t="s">
        <v>185</v>
      </c>
      <c r="C97" s="46" t="s">
        <v>186</v>
      </c>
      <c r="D97" s="45"/>
      <c r="E97" s="338"/>
      <c r="F97" s="309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2.75" customHeight="1" x14ac:dyDescent="0.25">
      <c r="A98" s="44"/>
      <c r="B98" s="46" t="s">
        <v>187</v>
      </c>
      <c r="C98" s="46" t="s">
        <v>188</v>
      </c>
      <c r="D98" s="45"/>
      <c r="E98" s="338"/>
      <c r="F98" s="309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2.75" customHeight="1" x14ac:dyDescent="0.25">
      <c r="A99" s="44"/>
      <c r="B99" s="46" t="s">
        <v>189</v>
      </c>
      <c r="C99" s="50" t="s">
        <v>190</v>
      </c>
      <c r="D99" s="45"/>
      <c r="E99" s="338"/>
      <c r="F99" s="309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2.75" customHeight="1" x14ac:dyDescent="0.25">
      <c r="A100" s="44"/>
      <c r="B100" s="46" t="s">
        <v>191</v>
      </c>
      <c r="C100" s="50" t="s">
        <v>192</v>
      </c>
      <c r="D100" s="45"/>
      <c r="E100" s="338"/>
      <c r="F100" s="309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32.25" customHeight="1" x14ac:dyDescent="0.25">
      <c r="A101" s="44"/>
      <c r="B101" s="50" t="s">
        <v>193</v>
      </c>
      <c r="C101" s="50" t="s">
        <v>194</v>
      </c>
      <c r="D101" s="45"/>
      <c r="E101" s="338"/>
      <c r="F101" s="309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2.75" customHeight="1" x14ac:dyDescent="0.25">
      <c r="A102" s="44"/>
      <c r="B102" s="46" t="s">
        <v>195</v>
      </c>
      <c r="C102" s="46" t="s">
        <v>196</v>
      </c>
      <c r="D102" s="45"/>
      <c r="E102" s="338"/>
      <c r="F102" s="309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2.75" customHeight="1" x14ac:dyDescent="0.25">
      <c r="A103" s="44"/>
      <c r="B103" s="46" t="s">
        <v>197</v>
      </c>
      <c r="C103" s="46" t="s">
        <v>198</v>
      </c>
      <c r="D103" s="45"/>
      <c r="E103" s="338"/>
      <c r="F103" s="309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2.75" customHeight="1" x14ac:dyDescent="0.25">
      <c r="A104" s="44"/>
      <c r="B104" s="46" t="s">
        <v>199</v>
      </c>
      <c r="C104" s="46" t="s">
        <v>200</v>
      </c>
      <c r="D104" s="45"/>
      <c r="E104" s="338"/>
      <c r="F104" s="309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27" customHeight="1" x14ac:dyDescent="0.25">
      <c r="A105" s="44"/>
      <c r="B105" s="46" t="s">
        <v>201</v>
      </c>
      <c r="C105" s="49" t="s">
        <v>202</v>
      </c>
      <c r="D105" s="45"/>
      <c r="E105" s="338"/>
      <c r="F105" s="309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2.75" customHeight="1" x14ac:dyDescent="0.25">
      <c r="A106" s="44"/>
      <c r="B106" s="46" t="s">
        <v>203</v>
      </c>
      <c r="C106" s="46" t="s">
        <v>204</v>
      </c>
      <c r="D106" s="45"/>
      <c r="E106" s="338"/>
      <c r="F106" s="309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2.75" customHeight="1" x14ac:dyDescent="0.25">
      <c r="A107" s="44"/>
      <c r="B107" s="46" t="s">
        <v>205</v>
      </c>
      <c r="C107" s="46" t="s">
        <v>206</v>
      </c>
      <c r="D107" s="45"/>
      <c r="E107" s="338"/>
      <c r="F107" s="309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2.75" customHeight="1" x14ac:dyDescent="0.25">
      <c r="A108" s="44"/>
      <c r="B108" s="46" t="s">
        <v>207</v>
      </c>
      <c r="C108" s="46" t="s">
        <v>208</v>
      </c>
      <c r="D108" s="4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2.75" customHeight="1" x14ac:dyDescent="0.25">
      <c r="A109" s="44"/>
      <c r="B109" s="46" t="s">
        <v>209</v>
      </c>
      <c r="C109" s="46" t="s">
        <v>210</v>
      </c>
      <c r="D109" s="4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2.75" customHeight="1" x14ac:dyDescent="0.25">
      <c r="A110" s="44"/>
      <c r="B110" s="46" t="s">
        <v>211</v>
      </c>
      <c r="C110" s="46"/>
      <c r="D110" s="4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2.75" customHeight="1" x14ac:dyDescent="0.25">
      <c r="A111" s="44"/>
      <c r="B111" s="50" t="s">
        <v>212</v>
      </c>
      <c r="C111" s="46"/>
      <c r="D111" s="4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27" customHeight="1" x14ac:dyDescent="0.25">
      <c r="A112" s="44"/>
      <c r="B112" s="46" t="s">
        <v>213</v>
      </c>
      <c r="C112" s="46"/>
      <c r="D112" s="4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2.75" customHeight="1" x14ac:dyDescent="0.25">
      <c r="A113" s="44"/>
      <c r="B113" s="46" t="s">
        <v>214</v>
      </c>
      <c r="C113" s="46"/>
      <c r="D113" s="4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2.75" customHeight="1" x14ac:dyDescent="0.25">
      <c r="A114" s="44"/>
      <c r="B114" s="46" t="s">
        <v>215</v>
      </c>
      <c r="C114" s="46"/>
      <c r="D114" s="4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2.75" customHeight="1" x14ac:dyDescent="0.25">
      <c r="A115" s="44"/>
      <c r="B115" s="45" t="s">
        <v>216</v>
      </c>
      <c r="C115" s="46"/>
      <c r="D115" s="4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2.75" customHeight="1" x14ac:dyDescent="0.25">
      <c r="A116" s="44"/>
      <c r="B116" s="45" t="s">
        <v>217</v>
      </c>
      <c r="C116" s="46"/>
      <c r="D116" s="4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2.75" customHeight="1" x14ac:dyDescent="0.25">
      <c r="A117" s="44"/>
      <c r="B117" s="46" t="s">
        <v>218</v>
      </c>
      <c r="C117" s="46"/>
      <c r="D117" s="4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2.75" customHeight="1" x14ac:dyDescent="0.25">
      <c r="A118" s="44"/>
      <c r="B118" s="46" t="s">
        <v>219</v>
      </c>
      <c r="C118" s="46"/>
      <c r="D118" s="4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2.75" customHeight="1" x14ac:dyDescent="0.25">
      <c r="A119" s="44"/>
      <c r="B119" s="46" t="s">
        <v>220</v>
      </c>
      <c r="C119" s="46"/>
      <c r="D119" s="4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2.75" customHeight="1" x14ac:dyDescent="0.25">
      <c r="A120" s="44"/>
      <c r="B120" s="46" t="s">
        <v>221</v>
      </c>
      <c r="C120" s="46"/>
      <c r="D120" s="4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2.75" customHeight="1" x14ac:dyDescent="0.25">
      <c r="A121" s="44"/>
      <c r="B121" s="46" t="s">
        <v>222</v>
      </c>
      <c r="C121" s="46"/>
      <c r="D121" s="4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2.75" customHeight="1" x14ac:dyDescent="0.25">
      <c r="A122" s="44"/>
      <c r="B122" s="46" t="s">
        <v>223</v>
      </c>
      <c r="C122" s="46"/>
      <c r="D122" s="4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2.75" customHeight="1" x14ac:dyDescent="0.25">
      <c r="A123" s="44"/>
      <c r="B123" s="46" t="s">
        <v>224</v>
      </c>
      <c r="C123" s="46"/>
      <c r="D123" s="4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2.75" customHeight="1" x14ac:dyDescent="0.25">
      <c r="A124" s="44"/>
      <c r="B124" s="46" t="s">
        <v>225</v>
      </c>
      <c r="C124" s="46"/>
      <c r="D124" s="4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2.75" customHeight="1" x14ac:dyDescent="0.25">
      <c r="A125" s="44"/>
      <c r="B125" s="46" t="s">
        <v>226</v>
      </c>
      <c r="C125" s="46"/>
      <c r="D125" s="4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2.75" customHeight="1" x14ac:dyDescent="0.25">
      <c r="A126" s="44"/>
      <c r="B126" s="46" t="s">
        <v>227</v>
      </c>
      <c r="C126" s="46"/>
      <c r="D126" s="4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2.75" customHeight="1" x14ac:dyDescent="0.25">
      <c r="A127" s="44"/>
      <c r="B127" s="46" t="s">
        <v>228</v>
      </c>
      <c r="C127" s="46"/>
      <c r="D127" s="4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2.75" customHeight="1" x14ac:dyDescent="0.25">
      <c r="A128" s="44"/>
      <c r="B128" s="46" t="s">
        <v>229</v>
      </c>
      <c r="C128" s="46"/>
      <c r="D128" s="4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2.75" customHeight="1" x14ac:dyDescent="0.25">
      <c r="A129" s="44"/>
      <c r="B129" s="46" t="s">
        <v>230</v>
      </c>
      <c r="C129" s="46"/>
      <c r="D129" s="4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2.75" customHeight="1" x14ac:dyDescent="0.25">
      <c r="A130" s="44"/>
      <c r="B130" s="46" t="s">
        <v>231</v>
      </c>
      <c r="C130" s="46"/>
      <c r="D130" s="4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2.75" customHeight="1" x14ac:dyDescent="0.25">
      <c r="A131" s="44"/>
      <c r="B131" s="46" t="s">
        <v>232</v>
      </c>
      <c r="C131" s="46"/>
      <c r="D131" s="4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2.75" customHeight="1" x14ac:dyDescent="0.25">
      <c r="A132" s="44"/>
      <c r="C132" s="46"/>
      <c r="D132" s="4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2.75" customHeight="1" x14ac:dyDescent="0.25">
      <c r="A133" s="44"/>
      <c r="B133" s="46"/>
      <c r="C133" s="46"/>
      <c r="D133" s="4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2.75" customHeight="1" x14ac:dyDescent="0.25">
      <c r="A134" s="44"/>
      <c r="B134" s="46"/>
      <c r="C134" s="46"/>
      <c r="D134" s="4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2.75" customHeight="1" x14ac:dyDescent="0.25">
      <c r="A135" s="44"/>
      <c r="B135" s="45"/>
      <c r="C135" s="46"/>
      <c r="D135" s="4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2.75" customHeight="1" x14ac:dyDescent="0.25">
      <c r="A136" s="5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2.75" customHeight="1" x14ac:dyDescent="0.25">
      <c r="A137" s="340" t="s">
        <v>233</v>
      </c>
      <c r="B137" s="318"/>
      <c r="C137" s="3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2.75" customHeight="1" x14ac:dyDescent="0.3">
      <c r="A138" s="341" t="s">
        <v>234</v>
      </c>
      <c r="B138" s="339" t="s">
        <v>235</v>
      </c>
      <c r="C138" s="3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2.75" customHeight="1" x14ac:dyDescent="0.3">
      <c r="A139" s="321"/>
      <c r="B139" s="339" t="s">
        <v>236</v>
      </c>
      <c r="C139" s="3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2.75" customHeight="1" x14ac:dyDescent="0.3">
      <c r="A140" s="321"/>
      <c r="B140" s="339" t="s">
        <v>237</v>
      </c>
      <c r="C140" s="3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2.75" customHeight="1" x14ac:dyDescent="0.3">
      <c r="A141" s="321"/>
      <c r="B141" s="339" t="s">
        <v>238</v>
      </c>
      <c r="C141" s="3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2.75" customHeight="1" x14ac:dyDescent="0.3">
      <c r="A142" s="321"/>
      <c r="B142" s="339" t="s">
        <v>239</v>
      </c>
      <c r="C142" s="3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2.75" customHeight="1" x14ac:dyDescent="0.3">
      <c r="A143" s="321"/>
      <c r="B143" s="339" t="s">
        <v>240</v>
      </c>
      <c r="C143" s="3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2.75" customHeight="1" x14ac:dyDescent="0.3">
      <c r="A144" s="321"/>
      <c r="B144" s="339" t="s">
        <v>241</v>
      </c>
      <c r="C144" s="3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2.75" customHeight="1" x14ac:dyDescent="0.3">
      <c r="A145" s="321"/>
      <c r="B145" s="339" t="s">
        <v>242</v>
      </c>
      <c r="C145" s="3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2.75" customHeight="1" x14ac:dyDescent="0.3">
      <c r="A146" s="321"/>
      <c r="B146" s="339" t="s">
        <v>243</v>
      </c>
      <c r="C146" s="3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2.75" customHeight="1" x14ac:dyDescent="0.3">
      <c r="A147" s="321"/>
      <c r="B147" s="339" t="s">
        <v>244</v>
      </c>
      <c r="C147" s="3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2.75" customHeight="1" x14ac:dyDescent="0.3">
      <c r="A148" s="321"/>
      <c r="B148" s="339" t="s">
        <v>245</v>
      </c>
      <c r="C148" s="3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2.75" customHeight="1" x14ac:dyDescent="0.3">
      <c r="A149" s="321"/>
      <c r="B149" s="339" t="s">
        <v>246</v>
      </c>
      <c r="C149" s="3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2.75" customHeight="1" x14ac:dyDescent="0.3">
      <c r="A150" s="321"/>
      <c r="B150" s="339" t="s">
        <v>247</v>
      </c>
      <c r="C150" s="3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2.75" customHeight="1" x14ac:dyDescent="0.3">
      <c r="A151" s="321"/>
      <c r="B151" s="339" t="s">
        <v>248</v>
      </c>
      <c r="C151" s="3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2.75" customHeight="1" x14ac:dyDescent="0.3">
      <c r="A152" s="321"/>
      <c r="B152" s="339" t="s">
        <v>249</v>
      </c>
      <c r="C152" s="3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2.75" customHeight="1" x14ac:dyDescent="0.3">
      <c r="A153" s="322"/>
      <c r="B153" s="339" t="s">
        <v>250</v>
      </c>
      <c r="C153" s="3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2.75" customHeight="1" x14ac:dyDescent="0.3">
      <c r="A154" s="341" t="s">
        <v>251</v>
      </c>
      <c r="B154" s="339" t="s">
        <v>252</v>
      </c>
      <c r="C154" s="3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2.75" customHeight="1" x14ac:dyDescent="0.3">
      <c r="A155" s="321"/>
      <c r="B155" s="339" t="s">
        <v>253</v>
      </c>
      <c r="C155" s="319"/>
    </row>
    <row r="156" spans="1:16" ht="12.75" customHeight="1" x14ac:dyDescent="0.3">
      <c r="A156" s="321"/>
      <c r="B156" s="339" t="s">
        <v>254</v>
      </c>
      <c r="C156" s="319"/>
    </row>
    <row r="157" spans="1:16" ht="12.75" customHeight="1" x14ac:dyDescent="0.3">
      <c r="A157" s="321"/>
      <c r="B157" s="339" t="s">
        <v>255</v>
      </c>
      <c r="C157" s="319"/>
    </row>
    <row r="158" spans="1:16" ht="12.75" customHeight="1" x14ac:dyDescent="0.3">
      <c r="A158" s="321"/>
      <c r="B158" s="339" t="s">
        <v>256</v>
      </c>
      <c r="C158" s="319"/>
    </row>
    <row r="159" spans="1:16" ht="12.75" customHeight="1" x14ac:dyDescent="0.3">
      <c r="A159" s="321"/>
      <c r="B159" s="339" t="s">
        <v>257</v>
      </c>
      <c r="C159" s="319"/>
    </row>
    <row r="160" spans="1:16" ht="12.75" customHeight="1" x14ac:dyDescent="0.3">
      <c r="A160" s="321"/>
      <c r="B160" s="339" t="s">
        <v>258</v>
      </c>
      <c r="C160" s="319"/>
    </row>
    <row r="161" spans="1:3" ht="12.75" customHeight="1" x14ac:dyDescent="0.3">
      <c r="A161" s="321"/>
      <c r="B161" s="339" t="s">
        <v>259</v>
      </c>
      <c r="C161" s="319"/>
    </row>
    <row r="162" spans="1:3" ht="12.75" customHeight="1" x14ac:dyDescent="0.3">
      <c r="A162" s="321"/>
      <c r="B162" s="339" t="s">
        <v>260</v>
      </c>
      <c r="C162" s="319"/>
    </row>
    <row r="163" spans="1:3" ht="12.75" customHeight="1" x14ac:dyDescent="0.3">
      <c r="A163" s="322"/>
      <c r="B163" s="339" t="s">
        <v>261</v>
      </c>
      <c r="C163" s="319"/>
    </row>
    <row r="164" spans="1:3" ht="12.75" customHeight="1" x14ac:dyDescent="0.3">
      <c r="A164" s="341" t="s">
        <v>262</v>
      </c>
      <c r="B164" s="339" t="s">
        <v>263</v>
      </c>
      <c r="C164" s="319"/>
    </row>
    <row r="165" spans="1:3" ht="12.75" customHeight="1" x14ac:dyDescent="0.3">
      <c r="A165" s="321"/>
      <c r="B165" s="339" t="s">
        <v>264</v>
      </c>
      <c r="C165" s="319"/>
    </row>
    <row r="166" spans="1:3" ht="12.75" customHeight="1" x14ac:dyDescent="0.3">
      <c r="A166" s="321"/>
      <c r="B166" s="339" t="s">
        <v>265</v>
      </c>
      <c r="C166" s="319"/>
    </row>
    <row r="167" spans="1:3" ht="12.75" customHeight="1" x14ac:dyDescent="0.3">
      <c r="A167" s="321"/>
      <c r="B167" s="339" t="s">
        <v>266</v>
      </c>
      <c r="C167" s="319"/>
    </row>
    <row r="168" spans="1:3" ht="12.75" customHeight="1" x14ac:dyDescent="0.3">
      <c r="A168" s="321"/>
      <c r="B168" s="339" t="s">
        <v>267</v>
      </c>
      <c r="C168" s="319"/>
    </row>
    <row r="169" spans="1:3" ht="12.75" customHeight="1" x14ac:dyDescent="0.3">
      <c r="A169" s="321"/>
      <c r="B169" s="339" t="s">
        <v>268</v>
      </c>
      <c r="C169" s="319"/>
    </row>
    <row r="170" spans="1:3" ht="12.75" customHeight="1" x14ac:dyDescent="0.3">
      <c r="A170" s="321"/>
      <c r="B170" s="339" t="s">
        <v>269</v>
      </c>
      <c r="C170" s="319"/>
    </row>
    <row r="171" spans="1:3" ht="12.75" customHeight="1" x14ac:dyDescent="0.3">
      <c r="A171" s="321"/>
      <c r="B171" s="339" t="s">
        <v>270</v>
      </c>
      <c r="C171" s="319"/>
    </row>
    <row r="172" spans="1:3" ht="12.75" customHeight="1" x14ac:dyDescent="0.25">
      <c r="A172" s="322"/>
      <c r="B172" s="342" t="s">
        <v>271</v>
      </c>
      <c r="C172" s="319"/>
    </row>
    <row r="173" spans="1:3" ht="12.75" customHeight="1" x14ac:dyDescent="0.3">
      <c r="A173" s="341" t="s">
        <v>272</v>
      </c>
      <c r="B173" s="339" t="s">
        <v>273</v>
      </c>
      <c r="C173" s="319"/>
    </row>
    <row r="174" spans="1:3" ht="12.75" customHeight="1" x14ac:dyDescent="0.3">
      <c r="A174" s="321"/>
      <c r="B174" s="339" t="s">
        <v>274</v>
      </c>
      <c r="C174" s="319"/>
    </row>
    <row r="175" spans="1:3" ht="12.75" customHeight="1" x14ac:dyDescent="0.3">
      <c r="A175" s="321"/>
      <c r="B175" s="339" t="s">
        <v>275</v>
      </c>
      <c r="C175" s="319"/>
    </row>
    <row r="176" spans="1:3" ht="12.75" customHeight="1" x14ac:dyDescent="0.3">
      <c r="A176" s="321"/>
      <c r="B176" s="339" t="s">
        <v>276</v>
      </c>
      <c r="C176" s="319"/>
    </row>
    <row r="177" spans="1:3" ht="12.75" customHeight="1" x14ac:dyDescent="0.3">
      <c r="A177" s="321"/>
      <c r="B177" s="339" t="s">
        <v>277</v>
      </c>
      <c r="C177" s="319"/>
    </row>
    <row r="178" spans="1:3" ht="12.75" customHeight="1" x14ac:dyDescent="0.3">
      <c r="A178" s="321"/>
      <c r="B178" s="339" t="s">
        <v>278</v>
      </c>
      <c r="C178" s="319"/>
    </row>
    <row r="179" spans="1:3" ht="12.75" customHeight="1" x14ac:dyDescent="0.3">
      <c r="A179" s="321"/>
      <c r="B179" s="339" t="s">
        <v>279</v>
      </c>
      <c r="C179" s="319"/>
    </row>
    <row r="180" spans="1:3" ht="12.75" customHeight="1" x14ac:dyDescent="0.3">
      <c r="A180" s="321"/>
      <c r="B180" s="339" t="s">
        <v>280</v>
      </c>
      <c r="C180" s="319"/>
    </row>
    <row r="181" spans="1:3" ht="12.75" customHeight="1" x14ac:dyDescent="0.3">
      <c r="A181" s="321"/>
      <c r="B181" s="339" t="s">
        <v>281</v>
      </c>
      <c r="C181" s="319"/>
    </row>
    <row r="182" spans="1:3" ht="12.75" customHeight="1" x14ac:dyDescent="0.3">
      <c r="A182" s="321"/>
      <c r="B182" s="339" t="s">
        <v>270</v>
      </c>
      <c r="C182" s="319"/>
    </row>
    <row r="183" spans="1:3" ht="12.75" customHeight="1" x14ac:dyDescent="0.3">
      <c r="A183" s="321"/>
      <c r="B183" s="339" t="s">
        <v>282</v>
      </c>
      <c r="C183" s="319"/>
    </row>
    <row r="184" spans="1:3" ht="12.75" customHeight="1" x14ac:dyDescent="0.3">
      <c r="A184" s="321"/>
      <c r="B184" s="339" t="s">
        <v>283</v>
      </c>
      <c r="C184" s="319"/>
    </row>
    <row r="185" spans="1:3" ht="12.75" customHeight="1" x14ac:dyDescent="0.3">
      <c r="A185" s="321"/>
      <c r="B185" s="339" t="s">
        <v>284</v>
      </c>
      <c r="C185" s="319"/>
    </row>
    <row r="186" spans="1:3" ht="12.75" customHeight="1" x14ac:dyDescent="0.3">
      <c r="A186" s="321"/>
      <c r="B186" s="339" t="s">
        <v>285</v>
      </c>
      <c r="C186" s="319"/>
    </row>
    <row r="187" spans="1:3" ht="12.75" customHeight="1" x14ac:dyDescent="0.3">
      <c r="A187" s="321"/>
      <c r="B187" s="339" t="s">
        <v>286</v>
      </c>
      <c r="C187" s="319"/>
    </row>
    <row r="188" spans="1:3" ht="12.75" customHeight="1" x14ac:dyDescent="0.3">
      <c r="A188" s="321"/>
      <c r="B188" s="339" t="s">
        <v>287</v>
      </c>
      <c r="C188" s="319"/>
    </row>
    <row r="189" spans="1:3" ht="12.75" customHeight="1" x14ac:dyDescent="0.3">
      <c r="A189" s="321"/>
      <c r="B189" s="339" t="s">
        <v>288</v>
      </c>
      <c r="C189" s="319"/>
    </row>
    <row r="190" spans="1:3" ht="12.75" customHeight="1" x14ac:dyDescent="0.3">
      <c r="A190" s="321"/>
      <c r="B190" s="339" t="s">
        <v>289</v>
      </c>
      <c r="C190" s="319"/>
    </row>
    <row r="191" spans="1:3" ht="12.75" customHeight="1" x14ac:dyDescent="0.3">
      <c r="A191" s="321"/>
      <c r="B191" s="339" t="s">
        <v>290</v>
      </c>
      <c r="C191" s="319"/>
    </row>
    <row r="192" spans="1:3" ht="12.75" customHeight="1" x14ac:dyDescent="0.3">
      <c r="A192" s="321"/>
      <c r="B192" s="339" t="s">
        <v>291</v>
      </c>
      <c r="C192" s="319"/>
    </row>
    <row r="193" spans="1:3" ht="12.75" customHeight="1" x14ac:dyDescent="0.3">
      <c r="A193" s="321"/>
      <c r="B193" s="339" t="s">
        <v>292</v>
      </c>
      <c r="C193" s="319"/>
    </row>
    <row r="194" spans="1:3" ht="12.75" customHeight="1" x14ac:dyDescent="0.3">
      <c r="A194" s="321"/>
      <c r="B194" s="339" t="s">
        <v>293</v>
      </c>
      <c r="C194" s="319"/>
    </row>
    <row r="195" spans="1:3" ht="12.75" customHeight="1" x14ac:dyDescent="0.3">
      <c r="A195" s="321"/>
      <c r="B195" s="339" t="s">
        <v>294</v>
      </c>
      <c r="C195" s="319"/>
    </row>
    <row r="196" spans="1:3" ht="12.75" customHeight="1" x14ac:dyDescent="0.3">
      <c r="A196" s="321"/>
      <c r="B196" s="339" t="s">
        <v>295</v>
      </c>
      <c r="C196" s="319"/>
    </row>
    <row r="197" spans="1:3" ht="12.75" customHeight="1" x14ac:dyDescent="0.3">
      <c r="A197" s="321"/>
      <c r="B197" s="339" t="s">
        <v>296</v>
      </c>
      <c r="C197" s="319"/>
    </row>
    <row r="198" spans="1:3" ht="12.75" customHeight="1" x14ac:dyDescent="0.3">
      <c r="A198" s="321"/>
      <c r="B198" s="339" t="s">
        <v>297</v>
      </c>
      <c r="C198" s="319"/>
    </row>
    <row r="199" spans="1:3" ht="12.75" customHeight="1" x14ac:dyDescent="0.3">
      <c r="A199" s="321"/>
      <c r="B199" s="339" t="s">
        <v>298</v>
      </c>
      <c r="C199" s="319"/>
    </row>
    <row r="200" spans="1:3" ht="12.75" customHeight="1" x14ac:dyDescent="0.3">
      <c r="A200" s="321"/>
      <c r="B200" s="339" t="s">
        <v>299</v>
      </c>
      <c r="C200" s="319"/>
    </row>
    <row r="201" spans="1:3" ht="12.75" customHeight="1" x14ac:dyDescent="0.3">
      <c r="A201" s="321"/>
      <c r="B201" s="339" t="s">
        <v>300</v>
      </c>
      <c r="C201" s="319"/>
    </row>
    <row r="202" spans="1:3" ht="12.75" customHeight="1" x14ac:dyDescent="0.3">
      <c r="A202" s="321"/>
      <c r="B202" s="339" t="s">
        <v>301</v>
      </c>
      <c r="C202" s="319"/>
    </row>
    <row r="203" spans="1:3" ht="12.75" customHeight="1" x14ac:dyDescent="0.3">
      <c r="A203" s="321"/>
      <c r="B203" s="339" t="s">
        <v>302</v>
      </c>
      <c r="C203" s="319"/>
    </row>
    <row r="204" spans="1:3" ht="12.75" customHeight="1" x14ac:dyDescent="0.3">
      <c r="A204" s="322"/>
      <c r="B204" s="339" t="s">
        <v>303</v>
      </c>
      <c r="C204" s="319"/>
    </row>
    <row r="205" spans="1:3" ht="12.75" customHeight="1" x14ac:dyDescent="0.3">
      <c r="A205" s="343" t="s">
        <v>304</v>
      </c>
      <c r="B205" s="339" t="s">
        <v>305</v>
      </c>
      <c r="C205" s="319"/>
    </row>
    <row r="206" spans="1:3" ht="12.75" customHeight="1" x14ac:dyDescent="0.3">
      <c r="A206" s="321"/>
      <c r="B206" s="339" t="s">
        <v>306</v>
      </c>
      <c r="C206" s="319"/>
    </row>
    <row r="207" spans="1:3" ht="12.75" customHeight="1" x14ac:dyDescent="0.3">
      <c r="A207" s="321"/>
      <c r="B207" s="339" t="s">
        <v>307</v>
      </c>
      <c r="C207" s="319"/>
    </row>
    <row r="208" spans="1:3" ht="12.75" customHeight="1" x14ac:dyDescent="0.3">
      <c r="A208" s="321"/>
      <c r="B208" s="339" t="s">
        <v>308</v>
      </c>
      <c r="C208" s="319"/>
    </row>
    <row r="209" spans="1:3" ht="12.75" customHeight="1" x14ac:dyDescent="0.3">
      <c r="A209" s="321"/>
      <c r="B209" s="339" t="s">
        <v>309</v>
      </c>
      <c r="C209" s="319"/>
    </row>
    <row r="210" spans="1:3" ht="12.75" customHeight="1" x14ac:dyDescent="0.3">
      <c r="A210" s="321"/>
      <c r="B210" s="339" t="s">
        <v>310</v>
      </c>
      <c r="C210" s="319"/>
    </row>
    <row r="211" spans="1:3" ht="12.75" customHeight="1" x14ac:dyDescent="0.3">
      <c r="A211" s="321"/>
      <c r="B211" s="339" t="s">
        <v>311</v>
      </c>
      <c r="C211" s="319"/>
    </row>
    <row r="212" spans="1:3" ht="12.75" customHeight="1" x14ac:dyDescent="0.3">
      <c r="A212" s="321"/>
      <c r="B212" s="339" t="s">
        <v>312</v>
      </c>
      <c r="C212" s="319"/>
    </row>
    <row r="213" spans="1:3" ht="12.75" customHeight="1" x14ac:dyDescent="0.3">
      <c r="A213" s="321"/>
      <c r="B213" s="339" t="s">
        <v>313</v>
      </c>
      <c r="C213" s="319"/>
    </row>
    <row r="214" spans="1:3" ht="12.75" customHeight="1" x14ac:dyDescent="0.3">
      <c r="A214" s="321"/>
      <c r="B214" s="339" t="s">
        <v>314</v>
      </c>
      <c r="C214" s="319"/>
    </row>
    <row r="215" spans="1:3" ht="12.75" customHeight="1" x14ac:dyDescent="0.3">
      <c r="A215" s="321"/>
      <c r="B215" s="339" t="s">
        <v>315</v>
      </c>
      <c r="C215" s="319"/>
    </row>
    <row r="216" spans="1:3" ht="12.75" customHeight="1" x14ac:dyDescent="0.3">
      <c r="A216" s="321"/>
      <c r="B216" s="339" t="s">
        <v>316</v>
      </c>
      <c r="C216" s="319"/>
    </row>
    <row r="217" spans="1:3" ht="12.75" customHeight="1" x14ac:dyDescent="0.3">
      <c r="A217" s="321"/>
      <c r="B217" s="339" t="s">
        <v>317</v>
      </c>
      <c r="C217" s="319"/>
    </row>
    <row r="218" spans="1:3" ht="12.75" customHeight="1" x14ac:dyDescent="0.3">
      <c r="A218" s="321"/>
      <c r="B218" s="339" t="s">
        <v>318</v>
      </c>
      <c r="C218" s="319"/>
    </row>
    <row r="219" spans="1:3" ht="12.75" customHeight="1" x14ac:dyDescent="0.3">
      <c r="A219" s="321"/>
      <c r="B219" s="339" t="s">
        <v>319</v>
      </c>
      <c r="C219" s="319"/>
    </row>
    <row r="220" spans="1:3" ht="12.75" customHeight="1" x14ac:dyDescent="0.3">
      <c r="A220" s="321"/>
      <c r="B220" s="339" t="s">
        <v>320</v>
      </c>
      <c r="C220" s="319"/>
    </row>
    <row r="221" spans="1:3" ht="12.75" customHeight="1" x14ac:dyDescent="0.3">
      <c r="A221" s="321"/>
      <c r="B221" s="339" t="s">
        <v>321</v>
      </c>
      <c r="C221" s="319"/>
    </row>
    <row r="222" spans="1:3" ht="12.75" customHeight="1" x14ac:dyDescent="0.3">
      <c r="A222" s="321"/>
      <c r="B222" s="339" t="s">
        <v>322</v>
      </c>
      <c r="C222" s="319"/>
    </row>
    <row r="223" spans="1:3" ht="12.75" customHeight="1" x14ac:dyDescent="0.3">
      <c r="A223" s="321"/>
      <c r="B223" s="339" t="s">
        <v>323</v>
      </c>
      <c r="C223" s="319"/>
    </row>
    <row r="224" spans="1:3" ht="12.75" customHeight="1" x14ac:dyDescent="0.3">
      <c r="A224" s="321"/>
      <c r="B224" s="339" t="s">
        <v>324</v>
      </c>
      <c r="C224" s="319"/>
    </row>
    <row r="225" spans="1:3" ht="12.75" customHeight="1" x14ac:dyDescent="0.3">
      <c r="A225" s="321"/>
      <c r="B225" s="339" t="s">
        <v>325</v>
      </c>
      <c r="C225" s="319"/>
    </row>
    <row r="226" spans="1:3" ht="12.75" customHeight="1" x14ac:dyDescent="0.3">
      <c r="A226" s="321"/>
      <c r="B226" s="339" t="s">
        <v>326</v>
      </c>
      <c r="C226" s="319"/>
    </row>
    <row r="227" spans="1:3" ht="12.75" customHeight="1" x14ac:dyDescent="0.3">
      <c r="A227" s="321"/>
      <c r="B227" s="339" t="s">
        <v>327</v>
      </c>
      <c r="C227" s="319"/>
    </row>
    <row r="228" spans="1:3" ht="12.75" customHeight="1" x14ac:dyDescent="0.3">
      <c r="A228" s="321"/>
      <c r="B228" s="339" t="s">
        <v>328</v>
      </c>
      <c r="C228" s="319"/>
    </row>
    <row r="229" spans="1:3" ht="12.75" customHeight="1" x14ac:dyDescent="0.3">
      <c r="A229" s="321"/>
      <c r="B229" s="339" t="s">
        <v>329</v>
      </c>
      <c r="C229" s="319"/>
    </row>
    <row r="230" spans="1:3" ht="12.75" customHeight="1" x14ac:dyDescent="0.3">
      <c r="A230" s="321"/>
      <c r="B230" s="339" t="s">
        <v>330</v>
      </c>
      <c r="C230" s="319"/>
    </row>
    <row r="231" spans="1:3" ht="12.75" customHeight="1" x14ac:dyDescent="0.3">
      <c r="A231" s="321"/>
      <c r="B231" s="339" t="s">
        <v>331</v>
      </c>
      <c r="C231" s="319"/>
    </row>
    <row r="232" spans="1:3" ht="12.75" customHeight="1" x14ac:dyDescent="0.3">
      <c r="A232" s="321"/>
      <c r="B232" s="339" t="s">
        <v>332</v>
      </c>
      <c r="C232" s="319"/>
    </row>
    <row r="233" spans="1:3" ht="12.75" customHeight="1" x14ac:dyDescent="0.3">
      <c r="A233" s="321"/>
      <c r="B233" s="339" t="s">
        <v>333</v>
      </c>
      <c r="C233" s="319"/>
    </row>
    <row r="234" spans="1:3" ht="12.75" customHeight="1" x14ac:dyDescent="0.3">
      <c r="A234" s="322"/>
      <c r="B234" s="339" t="s">
        <v>334</v>
      </c>
      <c r="C234" s="319"/>
    </row>
    <row r="235" spans="1:3" ht="12.75" customHeight="1" x14ac:dyDescent="0.25"/>
    <row r="236" spans="1:3" ht="12.75" customHeight="1" x14ac:dyDescent="0.25"/>
    <row r="237" spans="1:3" ht="12.75" customHeight="1" x14ac:dyDescent="0.25"/>
    <row r="238" spans="1:3" ht="12.75" customHeight="1" x14ac:dyDescent="0.25"/>
    <row r="239" spans="1:3" ht="12.75" customHeight="1" x14ac:dyDescent="0.25"/>
    <row r="240" spans="1:3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54">
    <mergeCell ref="A154:A163"/>
    <mergeCell ref="B154:C154"/>
    <mergeCell ref="B155:C155"/>
    <mergeCell ref="B156:C156"/>
    <mergeCell ref="B204:C204"/>
    <mergeCell ref="B228:C228"/>
    <mergeCell ref="B229:C229"/>
    <mergeCell ref="B230:C230"/>
    <mergeCell ref="B231:C231"/>
    <mergeCell ref="B202:C202"/>
    <mergeCell ref="B203:C203"/>
    <mergeCell ref="B214:C214"/>
    <mergeCell ref="B215:C215"/>
    <mergeCell ref="B216:C216"/>
    <mergeCell ref="B217:C217"/>
    <mergeCell ref="B218:C218"/>
    <mergeCell ref="A164:A172"/>
    <mergeCell ref="B173:C173"/>
    <mergeCell ref="A173:A204"/>
    <mergeCell ref="B226:C226"/>
    <mergeCell ref="B227:C227"/>
    <mergeCell ref="B219:C219"/>
    <mergeCell ref="B220:C220"/>
    <mergeCell ref="B221:C221"/>
    <mergeCell ref="B224:C224"/>
    <mergeCell ref="B225:C225"/>
    <mergeCell ref="B194:C194"/>
    <mergeCell ref="B195:C195"/>
    <mergeCell ref="B212:C212"/>
    <mergeCell ref="B213:C213"/>
    <mergeCell ref="B205:C205"/>
    <mergeCell ref="B206:C206"/>
    <mergeCell ref="B207:C207"/>
    <mergeCell ref="B208:C208"/>
    <mergeCell ref="A205:A234"/>
    <mergeCell ref="B232:C232"/>
    <mergeCell ref="B233:C233"/>
    <mergeCell ref="B234:C234"/>
    <mergeCell ref="B209:C209"/>
    <mergeCell ref="B210:C210"/>
    <mergeCell ref="B211:C211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6:C196"/>
    <mergeCell ref="B197:C197"/>
    <mergeCell ref="B198:C198"/>
    <mergeCell ref="B199:C199"/>
    <mergeCell ref="B200:C200"/>
    <mergeCell ref="B201:C201"/>
    <mergeCell ref="B222:C222"/>
    <mergeCell ref="B223:C223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68:C168"/>
    <mergeCell ref="B157:C157"/>
    <mergeCell ref="B164:C164"/>
    <mergeCell ref="B169:C169"/>
    <mergeCell ref="B170:C170"/>
    <mergeCell ref="B171:C171"/>
    <mergeCell ref="B172:C172"/>
    <mergeCell ref="B174:C174"/>
    <mergeCell ref="B175:C175"/>
    <mergeCell ref="B158:C158"/>
    <mergeCell ref="B159:C159"/>
    <mergeCell ref="B160:C160"/>
    <mergeCell ref="B161:C161"/>
    <mergeCell ref="B162:C162"/>
    <mergeCell ref="B163:C163"/>
    <mergeCell ref="B165:C165"/>
    <mergeCell ref="B166:C166"/>
    <mergeCell ref="B167:C167"/>
    <mergeCell ref="B146:C146"/>
    <mergeCell ref="B147:C147"/>
    <mergeCell ref="B148:C148"/>
    <mergeCell ref="B149:C149"/>
    <mergeCell ref="B150:C150"/>
    <mergeCell ref="B151:C151"/>
    <mergeCell ref="E103:F103"/>
    <mergeCell ref="E104:F104"/>
    <mergeCell ref="E105:F105"/>
    <mergeCell ref="E106:F106"/>
    <mergeCell ref="E107:F107"/>
    <mergeCell ref="A137:C137"/>
    <mergeCell ref="A138:A153"/>
    <mergeCell ref="B152:C152"/>
    <mergeCell ref="B153:C153"/>
    <mergeCell ref="E102:F102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G48:G49"/>
    <mergeCell ref="B33:D33"/>
    <mergeCell ref="B34:B35"/>
    <mergeCell ref="C34:C35"/>
    <mergeCell ref="B41:G41"/>
    <mergeCell ref="B42:C43"/>
    <mergeCell ref="D42:G42"/>
    <mergeCell ref="B44:B49"/>
    <mergeCell ref="E45:E46"/>
    <mergeCell ref="F45:F46"/>
    <mergeCell ref="B80:B81"/>
    <mergeCell ref="C80:C81"/>
    <mergeCell ref="D80:D81"/>
    <mergeCell ref="B3:D3"/>
    <mergeCell ref="B11:D11"/>
    <mergeCell ref="A18:F18"/>
    <mergeCell ref="A19:B20"/>
    <mergeCell ref="C19:F19"/>
    <mergeCell ref="A21:A23"/>
    <mergeCell ref="B25:D25"/>
    <mergeCell ref="C45:C46"/>
    <mergeCell ref="D45:D46"/>
    <mergeCell ref="C48:C49"/>
    <mergeCell ref="D48:D49"/>
    <mergeCell ref="B53:D53"/>
    <mergeCell ref="C62:D62"/>
    <mergeCell ref="F48:F49"/>
  </mergeCells>
  <printOptions horizontalCentered="1"/>
  <pageMargins left="0.39370078740157483" right="0.39370078740157483" top="0.59055118110236227" bottom="1" header="0" footer="0"/>
  <pageSetup paperSize="14" orientation="portrait"/>
  <headerFooter>
    <oddFooter>&amp;LDIVISIÓN DE PYMES 18/06/2003&amp;RF2356-DPYM VERSIÓN 01  PÁG. &amp;P de</oddFooter>
  </headerFooter>
  <rowBreaks count="2" manualBreakCount="2">
    <brk id="132" man="1"/>
    <brk id="53" man="1"/>
  </rowBreaks>
  <colBreaks count="2" manualBreakCount="2">
    <brk id="4" man="1"/>
    <brk id="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58" workbookViewId="0"/>
  </sheetViews>
  <sheetFormatPr baseColWidth="10" defaultColWidth="12.5546875" defaultRowHeight="15" customHeight="1" x14ac:dyDescent="0.25"/>
  <cols>
    <col min="1" max="1" width="25.21875" customWidth="1"/>
    <col min="2" max="2" width="26" customWidth="1"/>
    <col min="3" max="3" width="15" customWidth="1"/>
    <col min="4" max="4" width="34.21875" customWidth="1"/>
    <col min="5" max="5" width="15.5546875" customWidth="1"/>
    <col min="6" max="6" width="14.5546875" customWidth="1"/>
    <col min="7" max="7" width="23" customWidth="1"/>
    <col min="8" max="16" width="11.44140625" customWidth="1"/>
    <col min="17" max="26" width="10.5546875" customWidth="1"/>
  </cols>
  <sheetData>
    <row r="1" spans="1:16" ht="12.75" customHeigh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2.75" customHeight="1" x14ac:dyDescent="0.25">
      <c r="A2" s="55"/>
      <c r="B2" s="350" t="s">
        <v>0</v>
      </c>
      <c r="C2" s="309"/>
      <c r="D2" s="309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2.75" customHeight="1" x14ac:dyDescent="0.25">
      <c r="A3" s="55"/>
      <c r="B3" s="56" t="s">
        <v>1</v>
      </c>
      <c r="C3" s="57" t="s">
        <v>2</v>
      </c>
      <c r="D3" s="58" t="s">
        <v>3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2.75" customHeight="1" x14ac:dyDescent="0.25">
      <c r="A4" s="55"/>
      <c r="B4" s="59" t="s">
        <v>4</v>
      </c>
      <c r="C4" s="60">
        <v>10</v>
      </c>
      <c r="D4" s="61" t="s">
        <v>5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12.75" customHeight="1" x14ac:dyDescent="0.25">
      <c r="A5" s="55"/>
      <c r="B5" s="59" t="s">
        <v>6</v>
      </c>
      <c r="C5" s="60">
        <v>6</v>
      </c>
      <c r="D5" s="61" t="s">
        <v>7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1:16" ht="12.75" customHeight="1" x14ac:dyDescent="0.25">
      <c r="A6" s="55"/>
      <c r="B6" s="59" t="s">
        <v>8</v>
      </c>
      <c r="C6" s="60">
        <v>2</v>
      </c>
      <c r="D6" s="61" t="s">
        <v>9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spans="1:16" ht="12.75" customHeight="1" x14ac:dyDescent="0.25">
      <c r="A7" s="55"/>
      <c r="B7" s="62" t="s">
        <v>10</v>
      </c>
      <c r="C7" s="63" t="s">
        <v>11</v>
      </c>
      <c r="D7" s="64" t="s">
        <v>12</v>
      </c>
      <c r="E7" s="55"/>
      <c r="F7" s="65"/>
      <c r="G7" s="66"/>
      <c r="H7" s="67"/>
      <c r="I7" s="55"/>
      <c r="J7" s="55"/>
      <c r="K7" s="55"/>
      <c r="L7" s="55"/>
      <c r="M7" s="55"/>
      <c r="N7" s="55"/>
      <c r="O7" s="55"/>
      <c r="P7" s="55"/>
    </row>
    <row r="8" spans="1:16" ht="12.75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spans="1:16" ht="12.75" customHeight="1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 spans="1:16" ht="12.75" customHeight="1" x14ac:dyDescent="0.25">
      <c r="A10" s="55"/>
      <c r="B10" s="345" t="s">
        <v>13</v>
      </c>
      <c r="C10" s="311"/>
      <c r="D10" s="312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spans="1:16" ht="12.75" customHeight="1" x14ac:dyDescent="0.25">
      <c r="A11" s="55"/>
      <c r="B11" s="56" t="s">
        <v>14</v>
      </c>
      <c r="C11" s="57" t="s">
        <v>15</v>
      </c>
      <c r="D11" s="58" t="s">
        <v>3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</row>
    <row r="12" spans="1:16" ht="12.75" customHeight="1" x14ac:dyDescent="0.25">
      <c r="A12" s="55"/>
      <c r="B12" s="68" t="s">
        <v>16</v>
      </c>
      <c r="C12" s="69">
        <v>4</v>
      </c>
      <c r="D12" s="61" t="s">
        <v>17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</row>
    <row r="13" spans="1:16" ht="12.75" customHeight="1" x14ac:dyDescent="0.25">
      <c r="A13" s="55"/>
      <c r="B13" s="68" t="s">
        <v>18</v>
      </c>
      <c r="C13" s="69">
        <v>3</v>
      </c>
      <c r="D13" s="61" t="s">
        <v>19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</row>
    <row r="14" spans="1:16" ht="12.75" customHeight="1" x14ac:dyDescent="0.25">
      <c r="A14" s="55"/>
      <c r="B14" s="68" t="s">
        <v>20</v>
      </c>
      <c r="C14" s="69">
        <v>2</v>
      </c>
      <c r="D14" s="61" t="s">
        <v>21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</row>
    <row r="15" spans="1:16" ht="12.75" customHeight="1" x14ac:dyDescent="0.25">
      <c r="A15" s="55"/>
      <c r="B15" s="70" t="s">
        <v>22</v>
      </c>
      <c r="C15" s="63">
        <v>1</v>
      </c>
      <c r="D15" s="64" t="s">
        <v>23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1:16" ht="12.75" customHeight="1" x14ac:dyDescent="0.25">
      <c r="A16" s="55"/>
      <c r="B16" s="71"/>
      <c r="C16" s="71"/>
      <c r="D16" s="71"/>
      <c r="E16" s="55"/>
      <c r="F16" s="66"/>
      <c r="G16" s="66"/>
      <c r="H16" s="67"/>
      <c r="I16" s="67"/>
      <c r="J16" s="55"/>
      <c r="K16" s="55"/>
      <c r="L16" s="55"/>
      <c r="M16" s="55"/>
      <c r="N16" s="55"/>
      <c r="O16" s="55"/>
      <c r="P16" s="55"/>
    </row>
    <row r="17" spans="1:16" ht="12.75" customHeight="1" x14ac:dyDescent="0.25">
      <c r="A17" s="345" t="s">
        <v>24</v>
      </c>
      <c r="B17" s="311"/>
      <c r="C17" s="311"/>
      <c r="D17" s="311"/>
      <c r="E17" s="311"/>
      <c r="F17" s="312"/>
      <c r="G17" s="55"/>
      <c r="H17" s="67"/>
      <c r="I17" s="67"/>
      <c r="J17" s="55"/>
      <c r="K17" s="66"/>
      <c r="L17" s="66"/>
      <c r="M17" s="67"/>
      <c r="N17" s="55"/>
      <c r="O17" s="55"/>
      <c r="P17" s="55"/>
    </row>
    <row r="18" spans="1:16" ht="12.75" customHeight="1" x14ac:dyDescent="0.25">
      <c r="A18" s="351" t="s">
        <v>25</v>
      </c>
      <c r="B18" s="314"/>
      <c r="C18" s="348" t="s">
        <v>26</v>
      </c>
      <c r="D18" s="318"/>
      <c r="E18" s="318"/>
      <c r="F18" s="319"/>
      <c r="G18" s="55"/>
      <c r="H18" s="67"/>
      <c r="I18" s="67"/>
      <c r="J18" s="55"/>
      <c r="K18" s="66"/>
      <c r="L18" s="66"/>
      <c r="M18" s="67"/>
      <c r="N18" s="55"/>
      <c r="O18" s="55"/>
      <c r="P18" s="55"/>
    </row>
    <row r="19" spans="1:16" ht="12.75" customHeight="1" x14ac:dyDescent="0.25">
      <c r="A19" s="315"/>
      <c r="B19" s="316"/>
      <c r="C19" s="69">
        <v>4</v>
      </c>
      <c r="D19" s="60">
        <v>3</v>
      </c>
      <c r="E19" s="60">
        <v>2</v>
      </c>
      <c r="F19" s="60">
        <v>1</v>
      </c>
      <c r="G19" s="55"/>
      <c r="H19" s="67"/>
      <c r="I19" s="67"/>
      <c r="J19" s="55"/>
      <c r="K19" s="66"/>
      <c r="L19" s="66"/>
      <c r="M19" s="67"/>
      <c r="N19" s="55"/>
      <c r="O19" s="55"/>
      <c r="P19" s="55"/>
    </row>
    <row r="20" spans="1:16" ht="12.75" customHeight="1" x14ac:dyDescent="0.25">
      <c r="A20" s="349" t="s">
        <v>27</v>
      </c>
      <c r="B20" s="60">
        <v>10</v>
      </c>
      <c r="C20" s="72" t="s">
        <v>28</v>
      </c>
      <c r="D20" s="72" t="s">
        <v>29</v>
      </c>
      <c r="E20" s="72" t="s">
        <v>30</v>
      </c>
      <c r="F20" s="72" t="s">
        <v>31</v>
      </c>
      <c r="G20" s="55"/>
      <c r="H20" s="67"/>
      <c r="I20" s="67"/>
      <c r="J20" s="55"/>
      <c r="K20" s="66"/>
      <c r="L20" s="66"/>
      <c r="M20" s="67"/>
      <c r="N20" s="55"/>
      <c r="O20" s="55"/>
      <c r="P20" s="55"/>
    </row>
    <row r="21" spans="1:16" ht="12.75" customHeight="1" x14ac:dyDescent="0.25">
      <c r="A21" s="321"/>
      <c r="B21" s="60">
        <v>6</v>
      </c>
      <c r="C21" s="73" t="s">
        <v>32</v>
      </c>
      <c r="D21" s="72" t="s">
        <v>33</v>
      </c>
      <c r="E21" s="72" t="s">
        <v>34</v>
      </c>
      <c r="F21" s="74" t="s">
        <v>35</v>
      </c>
      <c r="G21" s="55"/>
      <c r="H21" s="67"/>
      <c r="I21" s="67"/>
      <c r="J21" s="55"/>
      <c r="K21" s="66"/>
      <c r="L21" s="66"/>
      <c r="M21" s="67"/>
      <c r="N21" s="55"/>
      <c r="O21" s="55"/>
      <c r="P21" s="55"/>
    </row>
    <row r="22" spans="1:16" ht="12.75" customHeight="1" x14ac:dyDescent="0.25">
      <c r="A22" s="322"/>
      <c r="B22" s="60">
        <v>2</v>
      </c>
      <c r="C22" s="75" t="s">
        <v>36</v>
      </c>
      <c r="D22" s="74" t="s">
        <v>35</v>
      </c>
      <c r="E22" s="60" t="s">
        <v>37</v>
      </c>
      <c r="F22" s="60" t="s">
        <v>38</v>
      </c>
      <c r="G22" s="55"/>
      <c r="H22" s="67"/>
      <c r="I22" s="67"/>
      <c r="J22" s="55"/>
      <c r="K22" s="66"/>
      <c r="L22" s="66"/>
      <c r="M22" s="67"/>
      <c r="N22" s="55"/>
      <c r="O22" s="55"/>
      <c r="P22" s="55"/>
    </row>
    <row r="23" spans="1:16" ht="12.75" customHeight="1" x14ac:dyDescent="0.25">
      <c r="A23" s="71"/>
      <c r="B23" s="55"/>
      <c r="C23" s="55"/>
      <c r="D23" s="55"/>
      <c r="E23" s="55"/>
      <c r="F23" s="66"/>
      <c r="G23" s="55"/>
      <c r="H23" s="67"/>
      <c r="I23" s="67"/>
      <c r="J23" s="55"/>
      <c r="K23" s="66"/>
      <c r="L23" s="66"/>
      <c r="M23" s="67"/>
      <c r="N23" s="55"/>
      <c r="O23" s="55"/>
      <c r="P23" s="55"/>
    </row>
    <row r="24" spans="1:16" ht="12.75" customHeight="1" x14ac:dyDescent="0.25">
      <c r="A24" s="71"/>
      <c r="B24" s="345" t="s">
        <v>39</v>
      </c>
      <c r="C24" s="311"/>
      <c r="D24" s="312"/>
      <c r="E24" s="55"/>
      <c r="F24" s="66"/>
      <c r="G24" s="55"/>
      <c r="H24" s="67"/>
      <c r="I24" s="67"/>
      <c r="J24" s="55"/>
      <c r="K24" s="66"/>
      <c r="L24" s="66"/>
      <c r="M24" s="67"/>
      <c r="N24" s="55"/>
      <c r="O24" s="55"/>
      <c r="P24" s="55"/>
    </row>
    <row r="25" spans="1:16" ht="12.75" customHeight="1" x14ac:dyDescent="0.25">
      <c r="A25" s="71"/>
      <c r="B25" s="56" t="s">
        <v>25</v>
      </c>
      <c r="C25" s="57" t="s">
        <v>40</v>
      </c>
      <c r="D25" s="58" t="s">
        <v>3</v>
      </c>
      <c r="E25" s="55"/>
      <c r="F25" s="66"/>
      <c r="G25" s="55"/>
      <c r="H25" s="67"/>
      <c r="I25" s="67"/>
      <c r="J25" s="55"/>
      <c r="K25" s="66"/>
      <c r="L25" s="66"/>
      <c r="M25" s="67"/>
      <c r="N25" s="55"/>
      <c r="O25" s="55"/>
      <c r="P25" s="55"/>
    </row>
    <row r="26" spans="1:16" ht="12.75" customHeight="1" x14ac:dyDescent="0.25">
      <c r="A26" s="71"/>
      <c r="B26" s="68" t="s">
        <v>4</v>
      </c>
      <c r="C26" s="69" t="s">
        <v>41</v>
      </c>
      <c r="D26" s="61" t="s">
        <v>42</v>
      </c>
      <c r="E26" s="55"/>
      <c r="F26" s="66"/>
      <c r="G26" s="55"/>
      <c r="H26" s="67"/>
      <c r="I26" s="67"/>
      <c r="J26" s="55"/>
      <c r="K26" s="66"/>
      <c r="L26" s="66"/>
      <c r="M26" s="67"/>
      <c r="N26" s="55"/>
      <c r="O26" s="55"/>
      <c r="P26" s="55"/>
    </row>
    <row r="27" spans="1:16" ht="12.75" customHeight="1" x14ac:dyDescent="0.25">
      <c r="A27" s="71"/>
      <c r="B27" s="68" t="s">
        <v>6</v>
      </c>
      <c r="C27" s="69" t="s">
        <v>43</v>
      </c>
      <c r="D27" s="61" t="s">
        <v>44</v>
      </c>
      <c r="E27" s="55"/>
      <c r="F27" s="66"/>
      <c r="G27" s="55"/>
      <c r="H27" s="67"/>
      <c r="I27" s="67"/>
      <c r="J27" s="55"/>
      <c r="K27" s="66"/>
      <c r="L27" s="66"/>
      <c r="M27" s="67"/>
      <c r="N27" s="55"/>
      <c r="O27" s="55"/>
      <c r="P27" s="55"/>
    </row>
    <row r="28" spans="1:16" ht="12.75" customHeight="1" x14ac:dyDescent="0.25">
      <c r="A28" s="71"/>
      <c r="B28" s="68" t="s">
        <v>8</v>
      </c>
      <c r="C28" s="69" t="s">
        <v>45</v>
      </c>
      <c r="D28" s="61" t="s">
        <v>46</v>
      </c>
      <c r="E28" s="55"/>
      <c r="F28" s="66"/>
      <c r="G28" s="55"/>
      <c r="H28" s="67"/>
      <c r="I28" s="67"/>
      <c r="J28" s="55"/>
      <c r="K28" s="66"/>
      <c r="L28" s="66"/>
      <c r="M28" s="67"/>
      <c r="N28" s="55"/>
      <c r="O28" s="55"/>
      <c r="P28" s="55"/>
    </row>
    <row r="29" spans="1:16" ht="12.75" customHeight="1" x14ac:dyDescent="0.25">
      <c r="A29" s="71"/>
      <c r="B29" s="70" t="s">
        <v>10</v>
      </c>
      <c r="C29" s="63" t="s">
        <v>47</v>
      </c>
      <c r="D29" s="64" t="s">
        <v>48</v>
      </c>
      <c r="E29" s="55"/>
      <c r="F29" s="66"/>
      <c r="G29" s="55"/>
      <c r="H29" s="67"/>
      <c r="I29" s="67"/>
      <c r="J29" s="55"/>
      <c r="K29" s="66"/>
      <c r="L29" s="66"/>
      <c r="M29" s="67"/>
      <c r="N29" s="55"/>
      <c r="O29" s="55"/>
      <c r="P29" s="55"/>
    </row>
    <row r="30" spans="1:16" ht="12.75" customHeight="1" x14ac:dyDescent="0.25">
      <c r="A30" s="71"/>
      <c r="B30" s="71"/>
      <c r="C30" s="71"/>
      <c r="D30" s="71"/>
      <c r="E30" s="55"/>
      <c r="F30" s="66"/>
      <c r="G30" s="55"/>
      <c r="H30" s="67"/>
      <c r="I30" s="67"/>
      <c r="J30" s="55"/>
      <c r="K30" s="66"/>
      <c r="L30" s="66"/>
      <c r="M30" s="67"/>
      <c r="N30" s="55"/>
      <c r="O30" s="55"/>
      <c r="P30" s="55"/>
    </row>
    <row r="31" spans="1:16" ht="12.7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6" ht="12.75" customHeight="1" x14ac:dyDescent="0.25">
      <c r="A32" s="55"/>
      <c r="B32" s="345" t="s">
        <v>49</v>
      </c>
      <c r="C32" s="311"/>
      <c r="D32" s="312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ht="12.75" customHeight="1" x14ac:dyDescent="0.25">
      <c r="A33" s="55"/>
      <c r="B33" s="346" t="s">
        <v>50</v>
      </c>
      <c r="C33" s="346" t="s">
        <v>51</v>
      </c>
      <c r="D33" s="76" t="s">
        <v>3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ht="12.75" customHeight="1" x14ac:dyDescent="0.25">
      <c r="A34" s="55"/>
      <c r="B34" s="322"/>
      <c r="C34" s="322"/>
      <c r="D34" s="76" t="s">
        <v>52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ht="12.75" customHeight="1" x14ac:dyDescent="0.25">
      <c r="A35" s="55"/>
      <c r="B35" s="77" t="s">
        <v>53</v>
      </c>
      <c r="C35" s="60">
        <v>100</v>
      </c>
      <c r="D35" s="78" t="s">
        <v>54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 ht="12.75" customHeight="1" x14ac:dyDescent="0.25">
      <c r="A36" s="55"/>
      <c r="B36" s="77" t="s">
        <v>55</v>
      </c>
      <c r="C36" s="60">
        <v>60</v>
      </c>
      <c r="D36" s="78" t="s">
        <v>56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ht="12.75" customHeight="1" x14ac:dyDescent="0.25">
      <c r="A37" s="55"/>
      <c r="B37" s="77" t="s">
        <v>57</v>
      </c>
      <c r="C37" s="60">
        <v>25</v>
      </c>
      <c r="D37" s="78" t="s">
        <v>58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 ht="12.75" customHeight="1" x14ac:dyDescent="0.25">
      <c r="A38" s="55"/>
      <c r="B38" s="77" t="s">
        <v>59</v>
      </c>
      <c r="C38" s="60">
        <v>10</v>
      </c>
      <c r="D38" s="78" t="s">
        <v>60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 ht="12.75" customHeight="1" x14ac:dyDescent="0.25">
      <c r="A39" s="55"/>
      <c r="B39" s="65"/>
      <c r="C39" s="66"/>
      <c r="D39" s="67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</row>
    <row r="40" spans="1:16" ht="12.75" customHeight="1" x14ac:dyDescent="0.25">
      <c r="A40" s="55"/>
      <c r="B40" s="345" t="s">
        <v>61</v>
      </c>
      <c r="C40" s="311"/>
      <c r="D40" s="311"/>
      <c r="E40" s="311"/>
      <c r="F40" s="311"/>
      <c r="G40" s="312"/>
      <c r="H40" s="55"/>
      <c r="I40" s="55"/>
      <c r="J40" s="55"/>
      <c r="K40" s="55"/>
      <c r="L40" s="55"/>
      <c r="M40" s="55"/>
      <c r="N40" s="55"/>
      <c r="O40" s="55"/>
      <c r="P40" s="55"/>
    </row>
    <row r="41" spans="1:16" ht="12.75" customHeight="1" x14ac:dyDescent="0.25">
      <c r="A41" s="79"/>
      <c r="B41" s="347" t="s">
        <v>62</v>
      </c>
      <c r="C41" s="334"/>
      <c r="D41" s="348" t="s">
        <v>63</v>
      </c>
      <c r="E41" s="318"/>
      <c r="F41" s="318"/>
      <c r="G41" s="319"/>
      <c r="H41" s="55"/>
      <c r="I41" s="55"/>
      <c r="J41" s="55"/>
      <c r="K41" s="55"/>
      <c r="L41" s="55"/>
      <c r="M41" s="55"/>
      <c r="N41" s="55"/>
      <c r="O41" s="55"/>
      <c r="P41" s="55"/>
    </row>
    <row r="42" spans="1:16" ht="12.75" customHeight="1" x14ac:dyDescent="0.25">
      <c r="A42" s="55"/>
      <c r="B42" s="335"/>
      <c r="C42" s="316"/>
      <c r="D42" s="78" t="s">
        <v>64</v>
      </c>
      <c r="E42" s="80" t="s">
        <v>65</v>
      </c>
      <c r="F42" s="81" t="s">
        <v>66</v>
      </c>
      <c r="G42" s="81" t="s">
        <v>67</v>
      </c>
      <c r="H42" s="55"/>
      <c r="I42" s="55"/>
      <c r="J42" s="55"/>
      <c r="K42" s="55"/>
      <c r="L42" s="55"/>
      <c r="M42" s="55"/>
      <c r="N42" s="55"/>
      <c r="O42" s="55"/>
      <c r="P42" s="55"/>
    </row>
    <row r="43" spans="1:16" ht="12.75" customHeight="1" x14ac:dyDescent="0.25">
      <c r="A43" s="55"/>
      <c r="B43" s="349" t="s">
        <v>68</v>
      </c>
      <c r="C43" s="60">
        <v>100</v>
      </c>
      <c r="D43" s="82" t="s">
        <v>69</v>
      </c>
      <c r="E43" s="83" t="s">
        <v>70</v>
      </c>
      <c r="F43" s="83" t="s">
        <v>71</v>
      </c>
      <c r="G43" s="84" t="s">
        <v>72</v>
      </c>
      <c r="H43" s="55"/>
      <c r="I43" s="55"/>
      <c r="J43" s="55"/>
      <c r="K43" s="55"/>
      <c r="L43" s="55"/>
      <c r="M43" s="55"/>
      <c r="N43" s="55"/>
      <c r="O43" s="55"/>
      <c r="P43" s="55"/>
    </row>
    <row r="44" spans="1:16" ht="12.75" customHeight="1" x14ac:dyDescent="0.25">
      <c r="A44" s="55"/>
      <c r="B44" s="321"/>
      <c r="C44" s="352">
        <v>60</v>
      </c>
      <c r="D44" s="353" t="s">
        <v>73</v>
      </c>
      <c r="E44" s="353" t="s">
        <v>74</v>
      </c>
      <c r="F44" s="354" t="s">
        <v>75</v>
      </c>
      <c r="G44" s="84" t="s">
        <v>76</v>
      </c>
      <c r="H44" s="55"/>
      <c r="I44" s="55"/>
      <c r="J44" s="55"/>
      <c r="K44" s="55"/>
      <c r="L44" s="55"/>
      <c r="M44" s="55"/>
      <c r="N44" s="55"/>
      <c r="O44" s="55"/>
      <c r="P44" s="55"/>
    </row>
    <row r="45" spans="1:16" ht="12.75" customHeight="1" x14ac:dyDescent="0.25">
      <c r="A45" s="55"/>
      <c r="B45" s="321"/>
      <c r="C45" s="322"/>
      <c r="D45" s="322"/>
      <c r="E45" s="322"/>
      <c r="F45" s="322"/>
      <c r="G45" s="85" t="s">
        <v>77</v>
      </c>
      <c r="H45" s="55"/>
      <c r="I45" s="55"/>
      <c r="J45" s="55"/>
      <c r="K45" s="55"/>
      <c r="L45" s="55"/>
      <c r="M45" s="55"/>
      <c r="N45" s="55"/>
      <c r="O45" s="55"/>
      <c r="P45" s="55"/>
    </row>
    <row r="46" spans="1:16" ht="12.75" customHeight="1" x14ac:dyDescent="0.25">
      <c r="A46" s="55"/>
      <c r="B46" s="321"/>
      <c r="C46" s="60">
        <v>25</v>
      </c>
      <c r="D46" s="82" t="s">
        <v>78</v>
      </c>
      <c r="E46" s="86" t="s">
        <v>79</v>
      </c>
      <c r="F46" s="86" t="s">
        <v>80</v>
      </c>
      <c r="G46" s="87" t="s">
        <v>81</v>
      </c>
      <c r="H46" s="55"/>
      <c r="I46" s="55"/>
      <c r="J46" s="55"/>
      <c r="K46" s="55"/>
      <c r="L46" s="55"/>
      <c r="M46" s="55"/>
      <c r="N46" s="55"/>
      <c r="O46" s="55"/>
      <c r="P46" s="55"/>
    </row>
    <row r="47" spans="1:16" ht="12.75" customHeight="1" x14ac:dyDescent="0.25">
      <c r="A47" s="55"/>
      <c r="B47" s="321"/>
      <c r="C47" s="352">
        <v>10</v>
      </c>
      <c r="D47" s="354" t="s">
        <v>82</v>
      </c>
      <c r="E47" s="86" t="s">
        <v>83</v>
      </c>
      <c r="F47" s="357" t="s">
        <v>84</v>
      </c>
      <c r="G47" s="344" t="s">
        <v>85</v>
      </c>
      <c r="H47" s="55"/>
      <c r="I47" s="55"/>
      <c r="J47" s="55"/>
      <c r="K47" s="55"/>
      <c r="L47" s="55"/>
      <c r="M47" s="55"/>
      <c r="N47" s="55"/>
      <c r="O47" s="55"/>
      <c r="P47" s="55"/>
    </row>
    <row r="48" spans="1:16" ht="12.75" customHeight="1" x14ac:dyDescent="0.25">
      <c r="A48" s="55"/>
      <c r="B48" s="322"/>
      <c r="C48" s="322"/>
      <c r="D48" s="322"/>
      <c r="E48" s="88" t="s">
        <v>86</v>
      </c>
      <c r="F48" s="322"/>
      <c r="G48" s="322"/>
      <c r="H48" s="55"/>
      <c r="I48" s="55"/>
      <c r="J48" s="55"/>
      <c r="K48" s="55"/>
      <c r="L48" s="55"/>
      <c r="M48" s="55"/>
      <c r="N48" s="55"/>
      <c r="O48" s="55"/>
      <c r="P48" s="55"/>
    </row>
    <row r="49" spans="1:16" ht="12.75" customHeight="1" x14ac:dyDescent="0.25">
      <c r="A49" s="55"/>
      <c r="B49" s="71"/>
      <c r="C49" s="66"/>
      <c r="D49" s="89"/>
      <c r="E49" s="90"/>
      <c r="F49" s="91"/>
      <c r="G49" s="89"/>
      <c r="H49" s="55"/>
      <c r="I49" s="55"/>
      <c r="J49" s="55"/>
      <c r="K49" s="55"/>
      <c r="L49" s="55"/>
      <c r="M49" s="55"/>
      <c r="N49" s="55"/>
      <c r="O49" s="55"/>
      <c r="P49" s="55"/>
    </row>
    <row r="50" spans="1:16" ht="12.75" customHeight="1" x14ac:dyDescent="0.25">
      <c r="A50" s="55"/>
      <c r="B50" s="71"/>
      <c r="C50" s="66"/>
      <c r="D50" s="89"/>
      <c r="E50" s="90"/>
      <c r="F50" s="91"/>
      <c r="G50" s="89"/>
      <c r="H50" s="55"/>
      <c r="I50" s="55"/>
      <c r="J50" s="55"/>
      <c r="K50" s="55"/>
      <c r="L50" s="55"/>
      <c r="M50" s="55"/>
      <c r="N50" s="55"/>
      <c r="O50" s="55"/>
      <c r="P50" s="55"/>
    </row>
    <row r="51" spans="1:16" ht="12.75" customHeight="1" x14ac:dyDescent="0.25">
      <c r="A51" s="55"/>
      <c r="B51" s="55"/>
      <c r="C51" s="55"/>
      <c r="D51" s="55"/>
      <c r="E51" s="55"/>
      <c r="F51" s="91"/>
      <c r="G51" s="89"/>
      <c r="H51" s="55"/>
      <c r="I51" s="55"/>
      <c r="J51" s="55"/>
      <c r="K51" s="55"/>
      <c r="L51" s="55"/>
      <c r="M51" s="55"/>
      <c r="N51" s="55"/>
      <c r="O51" s="55"/>
      <c r="P51" s="55"/>
    </row>
    <row r="52" spans="1:16" ht="12.75" customHeight="1" x14ac:dyDescent="0.25">
      <c r="A52" s="55"/>
      <c r="B52" s="345" t="s">
        <v>87</v>
      </c>
      <c r="C52" s="311"/>
      <c r="D52" s="312"/>
      <c r="E52" s="55"/>
      <c r="F52" s="91"/>
      <c r="G52" s="89"/>
      <c r="H52" s="55"/>
      <c r="I52" s="55"/>
      <c r="J52" s="55"/>
      <c r="K52" s="55"/>
      <c r="L52" s="55"/>
      <c r="M52" s="55"/>
      <c r="N52" s="55"/>
      <c r="O52" s="55"/>
      <c r="P52" s="55"/>
    </row>
    <row r="53" spans="1:16" ht="12.75" customHeight="1" x14ac:dyDescent="0.25">
      <c r="A53" s="55"/>
      <c r="B53" s="92" t="s">
        <v>88</v>
      </c>
      <c r="C53" s="92" t="s">
        <v>89</v>
      </c>
      <c r="D53" s="93" t="s">
        <v>3</v>
      </c>
      <c r="E53" s="55"/>
      <c r="F53" s="91"/>
      <c r="G53" s="89"/>
      <c r="H53" s="55"/>
      <c r="I53" s="55"/>
      <c r="J53" s="55"/>
      <c r="K53" s="55"/>
      <c r="L53" s="55"/>
      <c r="M53" s="55"/>
      <c r="N53" s="55"/>
      <c r="O53" s="55"/>
      <c r="P53" s="55"/>
    </row>
    <row r="54" spans="1:16" ht="12.75" customHeight="1" x14ac:dyDescent="0.25">
      <c r="A54" s="55"/>
      <c r="B54" s="60" t="s">
        <v>90</v>
      </c>
      <c r="C54" s="60" t="s">
        <v>91</v>
      </c>
      <c r="D54" s="78" t="s">
        <v>92</v>
      </c>
      <c r="E54" s="55"/>
      <c r="F54" s="91"/>
      <c r="G54" s="89"/>
      <c r="H54" s="55"/>
      <c r="I54" s="55"/>
      <c r="J54" s="55"/>
      <c r="K54" s="55"/>
      <c r="L54" s="55"/>
      <c r="M54" s="55"/>
      <c r="N54" s="55"/>
      <c r="O54" s="55"/>
      <c r="P54" s="55"/>
    </row>
    <row r="55" spans="1:16" ht="12.75" customHeight="1" x14ac:dyDescent="0.25">
      <c r="A55" s="55"/>
      <c r="B55" s="60" t="s">
        <v>93</v>
      </c>
      <c r="C55" s="60" t="s">
        <v>94</v>
      </c>
      <c r="D55" s="78" t="s">
        <v>95</v>
      </c>
      <c r="E55" s="55"/>
      <c r="F55" s="91"/>
      <c r="G55" s="89"/>
      <c r="H55" s="55"/>
      <c r="I55" s="55"/>
      <c r="J55" s="55"/>
      <c r="K55" s="55"/>
      <c r="L55" s="55"/>
      <c r="M55" s="55"/>
      <c r="N55" s="55"/>
      <c r="O55" s="55"/>
      <c r="P55" s="55"/>
    </row>
    <row r="56" spans="1:16" ht="12.75" customHeight="1" x14ac:dyDescent="0.25">
      <c r="A56" s="55"/>
      <c r="B56" s="60" t="s">
        <v>96</v>
      </c>
      <c r="C56" s="60" t="s">
        <v>97</v>
      </c>
      <c r="D56" s="78" t="s">
        <v>98</v>
      </c>
      <c r="E56" s="55"/>
      <c r="F56" s="91"/>
      <c r="G56" s="89"/>
      <c r="H56" s="55"/>
      <c r="I56" s="55"/>
      <c r="J56" s="55"/>
      <c r="K56" s="55"/>
      <c r="L56" s="55"/>
      <c r="M56" s="55"/>
      <c r="N56" s="55"/>
      <c r="O56" s="55"/>
      <c r="P56" s="55"/>
    </row>
    <row r="57" spans="1:16" ht="12.75" customHeight="1" x14ac:dyDescent="0.25">
      <c r="A57" s="55"/>
      <c r="B57" s="60" t="s">
        <v>99</v>
      </c>
      <c r="C57" s="60">
        <v>20</v>
      </c>
      <c r="D57" s="78" t="s">
        <v>100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</row>
    <row r="58" spans="1:16" ht="12.75" customHeight="1" x14ac:dyDescent="0.25">
      <c r="A58" s="55"/>
      <c r="B58" s="66"/>
      <c r="C58" s="66"/>
      <c r="D58" s="67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</row>
    <row r="59" spans="1:16" ht="12.7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</row>
    <row r="60" spans="1:16" ht="12.7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</row>
    <row r="61" spans="1:16" ht="12.75" customHeight="1" x14ac:dyDescent="0.25">
      <c r="A61" s="55"/>
      <c r="B61" s="55"/>
      <c r="C61" s="356" t="s">
        <v>101</v>
      </c>
      <c r="D61" s="329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</row>
    <row r="62" spans="1:16" ht="12.75" customHeight="1" x14ac:dyDescent="0.25">
      <c r="A62" s="55"/>
      <c r="B62" s="55"/>
      <c r="C62" s="94" t="s">
        <v>88</v>
      </c>
      <c r="D62" s="348" t="s">
        <v>3</v>
      </c>
      <c r="E62" s="319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</row>
    <row r="63" spans="1:16" ht="12.75" customHeight="1" x14ac:dyDescent="0.25">
      <c r="A63" s="55"/>
      <c r="B63" s="55"/>
      <c r="C63" s="60" t="s">
        <v>90</v>
      </c>
      <c r="D63" s="78" t="s">
        <v>102</v>
      </c>
      <c r="E63" s="78" t="s">
        <v>497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</row>
    <row r="64" spans="1:16" ht="12.75" customHeight="1" x14ac:dyDescent="0.25">
      <c r="A64" s="55"/>
      <c r="B64" s="55"/>
      <c r="C64" s="60" t="s">
        <v>93</v>
      </c>
      <c r="D64" s="78" t="s">
        <v>103</v>
      </c>
      <c r="E64" s="78" t="s">
        <v>498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</row>
    <row r="65" spans="1:26" ht="12.75" customHeight="1" x14ac:dyDescent="0.25">
      <c r="A65" s="55"/>
      <c r="B65" s="55"/>
      <c r="C65" s="60" t="s">
        <v>96</v>
      </c>
      <c r="D65" s="78" t="s">
        <v>499</v>
      </c>
      <c r="E65" s="78" t="s">
        <v>500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1:26" ht="12.75" customHeight="1" x14ac:dyDescent="0.25">
      <c r="A66" s="55"/>
      <c r="B66" s="55"/>
      <c r="C66" s="60" t="s">
        <v>99</v>
      </c>
      <c r="D66" s="78" t="s">
        <v>104</v>
      </c>
      <c r="E66" s="78" t="s">
        <v>501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</row>
    <row r="67" spans="1:26" ht="12.7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</row>
    <row r="68" spans="1:26" ht="12.7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26" ht="12.7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</row>
    <row r="70" spans="1:26" ht="12.7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</row>
    <row r="71" spans="1:26" ht="12.75" customHeight="1" x14ac:dyDescent="0.25">
      <c r="A71" s="95" t="s">
        <v>105</v>
      </c>
      <c r="B71" s="95" t="s">
        <v>106</v>
      </c>
      <c r="C71" s="96" t="s">
        <v>107</v>
      </c>
      <c r="D71" s="97" t="s">
        <v>108</v>
      </c>
      <c r="E71" s="98"/>
      <c r="F71" s="79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1:26" ht="12.75" customHeight="1" x14ac:dyDescent="0.25">
      <c r="A72" s="363" t="s">
        <v>110</v>
      </c>
      <c r="B72" s="99" t="s">
        <v>111</v>
      </c>
      <c r="C72" s="100" t="s">
        <v>502</v>
      </c>
      <c r="D72" s="101" t="s">
        <v>113</v>
      </c>
      <c r="E72" s="355"/>
      <c r="F72" s="309"/>
      <c r="G72" s="55"/>
      <c r="H72" s="55"/>
      <c r="I72" s="55"/>
      <c r="J72" s="55"/>
      <c r="K72" s="55"/>
      <c r="L72" s="55"/>
      <c r="M72" s="55"/>
      <c r="N72" s="55"/>
      <c r="O72" s="55"/>
      <c r="P72" s="55"/>
    </row>
    <row r="73" spans="1:26" ht="22.5" customHeight="1" x14ac:dyDescent="0.25">
      <c r="A73" s="364"/>
      <c r="B73" s="102" t="s">
        <v>116</v>
      </c>
      <c r="C73" s="103" t="s">
        <v>503</v>
      </c>
      <c r="D73" s="78" t="s">
        <v>118</v>
      </c>
      <c r="E73" s="355"/>
      <c r="F73" s="309"/>
      <c r="G73" s="55"/>
      <c r="H73" s="55"/>
      <c r="I73" s="55"/>
      <c r="J73" s="55"/>
      <c r="K73" s="55"/>
      <c r="L73" s="55"/>
      <c r="M73" s="55"/>
      <c r="N73" s="55"/>
      <c r="O73" s="55"/>
      <c r="P73" s="55"/>
    </row>
    <row r="74" spans="1:26" ht="12.75" customHeight="1" x14ac:dyDescent="0.25">
      <c r="A74" s="364"/>
      <c r="B74" s="99" t="s">
        <v>121</v>
      </c>
      <c r="C74" s="100" t="s">
        <v>122</v>
      </c>
      <c r="D74" s="101" t="s">
        <v>123</v>
      </c>
      <c r="E74" s="355"/>
      <c r="F74" s="309"/>
      <c r="G74" s="55"/>
      <c r="H74" s="55"/>
      <c r="I74" s="55"/>
      <c r="J74" s="55"/>
      <c r="K74" s="55"/>
      <c r="L74" s="55"/>
      <c r="M74" s="55"/>
      <c r="N74" s="55"/>
      <c r="O74" s="55"/>
      <c r="P74" s="55"/>
    </row>
    <row r="75" spans="1:26" ht="12.75" customHeight="1" x14ac:dyDescent="0.25">
      <c r="A75" s="364"/>
      <c r="B75" s="99" t="s">
        <v>126</v>
      </c>
      <c r="C75" s="100" t="s">
        <v>504</v>
      </c>
      <c r="D75" s="101" t="s">
        <v>128</v>
      </c>
      <c r="E75" s="355"/>
      <c r="F75" s="309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spans="1:26" ht="12.75" customHeight="1" x14ac:dyDescent="0.25">
      <c r="A76" s="364"/>
      <c r="B76" s="99" t="s">
        <v>131</v>
      </c>
      <c r="C76" s="100" t="s">
        <v>132</v>
      </c>
      <c r="D76" s="101" t="s">
        <v>133</v>
      </c>
      <c r="E76" s="355"/>
      <c r="F76" s="309"/>
      <c r="G76" s="55"/>
      <c r="H76" s="55"/>
      <c r="I76" s="55"/>
      <c r="J76" s="55"/>
      <c r="K76" s="55"/>
      <c r="L76" s="55"/>
      <c r="M76" s="55"/>
      <c r="N76" s="55"/>
      <c r="O76" s="55"/>
      <c r="P76" s="55"/>
    </row>
    <row r="77" spans="1:26" ht="28.5" customHeight="1" x14ac:dyDescent="0.25">
      <c r="A77" s="364"/>
      <c r="B77" s="104" t="s">
        <v>136</v>
      </c>
      <c r="C77" s="100" t="s">
        <v>505</v>
      </c>
      <c r="D77" s="101" t="s">
        <v>138</v>
      </c>
      <c r="E77" s="355"/>
      <c r="F77" s="309"/>
      <c r="G77" s="55"/>
      <c r="H77" s="55"/>
      <c r="I77" s="55"/>
      <c r="J77" s="55"/>
      <c r="K77" s="55"/>
      <c r="L77" s="55"/>
      <c r="M77" s="55"/>
      <c r="N77" s="55"/>
      <c r="O77" s="55"/>
      <c r="P77" s="55"/>
    </row>
    <row r="78" spans="1:26" ht="27" customHeight="1" x14ac:dyDescent="0.25">
      <c r="A78" s="364"/>
      <c r="B78" s="102" t="s">
        <v>141</v>
      </c>
      <c r="C78" s="105" t="s">
        <v>506</v>
      </c>
      <c r="D78" s="106" t="s">
        <v>143</v>
      </c>
      <c r="E78" s="358"/>
      <c r="F78" s="309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.75" customHeight="1" x14ac:dyDescent="0.25">
      <c r="A79" s="365"/>
      <c r="B79" s="99" t="s">
        <v>145</v>
      </c>
      <c r="C79" s="100" t="s">
        <v>507</v>
      </c>
      <c r="D79" s="101" t="s">
        <v>147</v>
      </c>
      <c r="E79" s="355"/>
      <c r="F79" s="309"/>
      <c r="G79" s="55"/>
      <c r="H79" s="55"/>
      <c r="I79" s="55"/>
      <c r="J79" s="55"/>
      <c r="K79" s="55"/>
      <c r="L79" s="55"/>
      <c r="M79" s="55"/>
      <c r="N79" s="55"/>
      <c r="O79" s="55"/>
      <c r="P79" s="55"/>
    </row>
    <row r="80" spans="1:26" ht="12.75" customHeight="1" x14ac:dyDescent="0.25">
      <c r="A80" s="366" t="s">
        <v>115</v>
      </c>
      <c r="B80" s="108" t="s">
        <v>149</v>
      </c>
      <c r="C80" s="109" t="s">
        <v>150</v>
      </c>
      <c r="D80" s="101" t="s">
        <v>151</v>
      </c>
      <c r="E80" s="355"/>
      <c r="F80" s="309"/>
      <c r="G80" s="55"/>
      <c r="H80" s="55"/>
      <c r="I80" s="55"/>
      <c r="J80" s="55"/>
      <c r="K80" s="55"/>
      <c r="L80" s="55"/>
      <c r="M80" s="55"/>
      <c r="N80" s="55"/>
      <c r="O80" s="55"/>
      <c r="P80" s="55"/>
    </row>
    <row r="81" spans="1:26" ht="32.25" customHeight="1" x14ac:dyDescent="0.25">
      <c r="A81" s="364"/>
      <c r="B81" s="110" t="s">
        <v>508</v>
      </c>
      <c r="C81" s="109" t="s">
        <v>509</v>
      </c>
      <c r="D81" s="101" t="s">
        <v>155</v>
      </c>
      <c r="E81" s="355"/>
      <c r="F81" s="309"/>
      <c r="G81" s="55"/>
      <c r="H81" s="55"/>
      <c r="I81" s="55"/>
      <c r="J81" s="55"/>
      <c r="K81" s="55"/>
      <c r="L81" s="55"/>
      <c r="M81" s="55"/>
      <c r="N81" s="55"/>
      <c r="O81" s="55"/>
      <c r="P81" s="55"/>
    </row>
    <row r="82" spans="1:26" ht="12.75" customHeight="1" x14ac:dyDescent="0.25">
      <c r="A82" s="364"/>
      <c r="B82" s="108" t="s">
        <v>156</v>
      </c>
      <c r="C82" s="109" t="s">
        <v>160</v>
      </c>
      <c r="D82" s="101" t="s">
        <v>158</v>
      </c>
      <c r="E82" s="355"/>
      <c r="F82" s="309"/>
      <c r="G82" s="55"/>
      <c r="H82" s="55"/>
      <c r="I82" s="55"/>
      <c r="J82" s="55"/>
      <c r="K82" s="55"/>
      <c r="L82" s="55"/>
      <c r="M82" s="55"/>
      <c r="N82" s="55"/>
      <c r="O82" s="55"/>
      <c r="P82" s="55"/>
    </row>
    <row r="83" spans="1:26" ht="25.5" customHeight="1" x14ac:dyDescent="0.25">
      <c r="A83" s="364"/>
      <c r="B83" s="367" t="s">
        <v>159</v>
      </c>
      <c r="C83" s="111" t="s">
        <v>510</v>
      </c>
      <c r="D83" s="106" t="s">
        <v>161</v>
      </c>
      <c r="E83" s="355"/>
      <c r="F83" s="309"/>
      <c r="G83" s="55"/>
      <c r="H83" s="55"/>
      <c r="I83" s="55"/>
      <c r="J83" s="55"/>
      <c r="K83" s="55"/>
      <c r="L83" s="55"/>
      <c r="M83" s="55"/>
      <c r="N83" s="55"/>
      <c r="O83" s="55"/>
      <c r="P83" s="55"/>
    </row>
    <row r="84" spans="1:26" ht="39" customHeight="1" x14ac:dyDescent="0.25">
      <c r="A84" s="364"/>
      <c r="B84" s="322"/>
      <c r="C84" s="109" t="s">
        <v>511</v>
      </c>
      <c r="D84" s="106" t="s">
        <v>164</v>
      </c>
      <c r="E84" s="358"/>
      <c r="F84" s="309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.75" customHeight="1" x14ac:dyDescent="0.25">
      <c r="A85" s="364"/>
      <c r="B85" s="112" t="s">
        <v>162</v>
      </c>
      <c r="C85" s="111" t="s">
        <v>512</v>
      </c>
      <c r="D85" s="101"/>
      <c r="E85" s="355"/>
      <c r="F85" s="309"/>
      <c r="G85" s="55"/>
      <c r="H85" s="55"/>
      <c r="I85" s="55"/>
      <c r="J85" s="55"/>
      <c r="K85" s="55"/>
      <c r="L85" s="55"/>
      <c r="M85" s="55"/>
      <c r="N85" s="55"/>
      <c r="O85" s="55"/>
      <c r="P85" s="55"/>
    </row>
    <row r="86" spans="1:26" ht="30.75" customHeight="1" x14ac:dyDescent="0.25">
      <c r="A86" s="364"/>
      <c r="B86" s="108" t="s">
        <v>165</v>
      </c>
      <c r="C86" s="109" t="s">
        <v>513</v>
      </c>
      <c r="D86" s="113"/>
      <c r="E86" s="355"/>
      <c r="F86" s="309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spans="1:26" ht="12.75" customHeight="1" x14ac:dyDescent="0.25">
      <c r="A87" s="365"/>
      <c r="B87" s="111" t="s">
        <v>167</v>
      </c>
      <c r="C87" s="109" t="s">
        <v>514</v>
      </c>
      <c r="D87" s="101"/>
      <c r="E87" s="355"/>
      <c r="F87" s="309"/>
      <c r="G87" s="55"/>
      <c r="H87" s="55"/>
      <c r="I87" s="55"/>
      <c r="J87" s="55"/>
      <c r="K87" s="55"/>
      <c r="L87" s="55"/>
      <c r="M87" s="55"/>
      <c r="N87" s="55"/>
      <c r="O87" s="55"/>
      <c r="P87" s="55"/>
    </row>
    <row r="88" spans="1:26" ht="12.75" customHeight="1" x14ac:dyDescent="0.25">
      <c r="A88" s="368" t="s">
        <v>120</v>
      </c>
      <c r="B88" s="114" t="s">
        <v>169</v>
      </c>
      <c r="C88" s="115" t="s">
        <v>515</v>
      </c>
      <c r="D88" s="101"/>
      <c r="E88" s="355"/>
      <c r="F88" s="309"/>
      <c r="G88" s="55"/>
      <c r="H88" s="55"/>
      <c r="I88" s="55"/>
      <c r="J88" s="55"/>
      <c r="K88" s="55"/>
      <c r="L88" s="55"/>
      <c r="M88" s="55"/>
      <c r="N88" s="55"/>
      <c r="O88" s="55"/>
      <c r="P88" s="55"/>
    </row>
    <row r="89" spans="1:26" ht="12.75" customHeight="1" x14ac:dyDescent="0.25">
      <c r="A89" s="364"/>
      <c r="B89" s="114" t="s">
        <v>171</v>
      </c>
      <c r="C89" s="115" t="s">
        <v>516</v>
      </c>
      <c r="D89" s="101"/>
      <c r="E89" s="355"/>
      <c r="F89" s="309"/>
      <c r="G89" s="55"/>
      <c r="H89" s="55"/>
      <c r="I89" s="55"/>
      <c r="J89" s="55"/>
      <c r="K89" s="55"/>
      <c r="L89" s="55"/>
      <c r="M89" s="55"/>
      <c r="N89" s="55"/>
      <c r="O89" s="55"/>
      <c r="P89" s="55"/>
    </row>
    <row r="90" spans="1:26" ht="12.75" customHeight="1" x14ac:dyDescent="0.25">
      <c r="A90" s="364"/>
      <c r="B90" s="114" t="s">
        <v>173</v>
      </c>
      <c r="C90" s="115" t="s">
        <v>178</v>
      </c>
      <c r="D90" s="101" t="s">
        <v>517</v>
      </c>
      <c r="E90" s="355"/>
      <c r="F90" s="309"/>
      <c r="G90" s="55"/>
      <c r="H90" s="55"/>
      <c r="I90" s="55"/>
      <c r="J90" s="55"/>
      <c r="K90" s="55"/>
      <c r="L90" s="55"/>
      <c r="M90" s="55"/>
      <c r="N90" s="55"/>
      <c r="O90" s="55"/>
      <c r="P90" s="55"/>
    </row>
    <row r="91" spans="1:26" ht="12.75" customHeight="1" x14ac:dyDescent="0.25">
      <c r="A91" s="364"/>
      <c r="B91" s="114" t="s">
        <v>175</v>
      </c>
      <c r="C91" s="369" t="s">
        <v>180</v>
      </c>
      <c r="D91" s="101"/>
      <c r="E91" s="355"/>
      <c r="F91" s="309"/>
      <c r="G91" s="55"/>
      <c r="H91" s="55"/>
      <c r="I91" s="55"/>
      <c r="J91" s="55"/>
      <c r="K91" s="55"/>
      <c r="L91" s="55"/>
      <c r="M91" s="55"/>
      <c r="N91" s="55"/>
      <c r="O91" s="55"/>
      <c r="P91" s="55"/>
    </row>
    <row r="92" spans="1:26" ht="12.75" customHeight="1" x14ac:dyDescent="0.25">
      <c r="A92" s="364"/>
      <c r="B92" s="114" t="s">
        <v>177</v>
      </c>
      <c r="C92" s="321"/>
      <c r="D92" s="101"/>
      <c r="E92" s="355"/>
      <c r="F92" s="309"/>
      <c r="G92" s="55"/>
      <c r="H92" s="55"/>
      <c r="I92" s="55"/>
      <c r="J92" s="55"/>
      <c r="K92" s="55"/>
      <c r="L92" s="55"/>
      <c r="M92" s="55"/>
      <c r="N92" s="55"/>
      <c r="O92" s="55"/>
      <c r="P92" s="55"/>
    </row>
    <row r="93" spans="1:26" ht="25.5" customHeight="1" x14ac:dyDescent="0.25">
      <c r="A93" s="365"/>
      <c r="B93" s="116" t="s">
        <v>179</v>
      </c>
      <c r="C93" s="322"/>
      <c r="D93" s="101"/>
      <c r="E93" s="355"/>
      <c r="F93" s="309"/>
      <c r="G93" s="55"/>
      <c r="H93" s="55"/>
      <c r="I93" s="55"/>
      <c r="J93" s="55"/>
      <c r="K93" s="55"/>
      <c r="L93" s="55"/>
      <c r="M93" s="55"/>
      <c r="N93" s="55"/>
      <c r="O93" s="55"/>
      <c r="P93" s="55"/>
    </row>
    <row r="94" spans="1:26" ht="63.75" customHeight="1" x14ac:dyDescent="0.25">
      <c r="A94" s="370" t="s">
        <v>125</v>
      </c>
      <c r="B94" s="117" t="s">
        <v>181</v>
      </c>
      <c r="C94" s="359" t="s">
        <v>518</v>
      </c>
      <c r="D94" s="101"/>
      <c r="E94" s="355"/>
      <c r="F94" s="309"/>
      <c r="G94" s="55"/>
      <c r="H94" s="55"/>
      <c r="I94" s="55"/>
      <c r="J94" s="55"/>
      <c r="K94" s="55"/>
      <c r="L94" s="55"/>
      <c r="M94" s="55"/>
      <c r="N94" s="55"/>
      <c r="O94" s="55"/>
      <c r="P94" s="55"/>
    </row>
    <row r="95" spans="1:26" ht="12.75" customHeight="1" x14ac:dyDescent="0.25">
      <c r="A95" s="364"/>
      <c r="B95" s="118" t="s">
        <v>519</v>
      </c>
      <c r="C95" s="321"/>
      <c r="D95" s="101"/>
      <c r="E95" s="355"/>
      <c r="F95" s="309"/>
      <c r="G95" s="55"/>
      <c r="H95" s="55"/>
      <c r="I95" s="55"/>
      <c r="J95" s="55"/>
      <c r="K95" s="55"/>
      <c r="L95" s="55"/>
      <c r="M95" s="55"/>
      <c r="N95" s="55"/>
      <c r="O95" s="55"/>
      <c r="P95" s="55"/>
    </row>
    <row r="96" spans="1:26" ht="12.75" customHeight="1" x14ac:dyDescent="0.25">
      <c r="A96" s="364"/>
      <c r="B96" s="118" t="s">
        <v>520</v>
      </c>
      <c r="C96" s="321"/>
      <c r="D96" s="101"/>
      <c r="E96" s="355"/>
      <c r="F96" s="309"/>
      <c r="G96" s="55"/>
      <c r="H96" s="55"/>
      <c r="I96" s="55"/>
      <c r="J96" s="55"/>
      <c r="K96" s="55"/>
      <c r="L96" s="55"/>
      <c r="M96" s="55"/>
      <c r="N96" s="55"/>
      <c r="O96" s="55"/>
      <c r="P96" s="55"/>
    </row>
    <row r="97" spans="1:16" ht="12.75" customHeight="1" x14ac:dyDescent="0.25">
      <c r="A97" s="364"/>
      <c r="B97" s="118" t="s">
        <v>187</v>
      </c>
      <c r="C97" s="321"/>
      <c r="D97" s="101"/>
      <c r="E97" s="355"/>
      <c r="F97" s="309"/>
      <c r="G97" s="55"/>
      <c r="H97" s="55"/>
      <c r="I97" s="55"/>
      <c r="J97" s="55"/>
      <c r="K97" s="55"/>
      <c r="L97" s="55"/>
      <c r="M97" s="55"/>
      <c r="N97" s="55"/>
      <c r="O97" s="55"/>
      <c r="P97" s="55"/>
    </row>
    <row r="98" spans="1:16" ht="12.75" customHeight="1" x14ac:dyDescent="0.25">
      <c r="A98" s="364"/>
      <c r="B98" s="118" t="s">
        <v>189</v>
      </c>
      <c r="C98" s="321"/>
      <c r="D98" s="101"/>
      <c r="E98" s="355"/>
      <c r="F98" s="309"/>
      <c r="G98" s="55"/>
      <c r="H98" s="55"/>
      <c r="I98" s="55"/>
      <c r="J98" s="55"/>
      <c r="K98" s="55"/>
      <c r="L98" s="55"/>
      <c r="M98" s="55"/>
      <c r="N98" s="55"/>
      <c r="O98" s="55"/>
      <c r="P98" s="55"/>
    </row>
    <row r="99" spans="1:16" ht="32.25" customHeight="1" x14ac:dyDescent="0.25">
      <c r="A99" s="365"/>
      <c r="B99" s="118" t="s">
        <v>191</v>
      </c>
      <c r="C99" s="322"/>
      <c r="D99" s="101"/>
      <c r="E99" s="355"/>
      <c r="F99" s="309"/>
      <c r="G99" s="55"/>
      <c r="H99" s="55"/>
      <c r="I99" s="55"/>
      <c r="J99" s="55"/>
      <c r="K99" s="55"/>
      <c r="L99" s="55"/>
      <c r="M99" s="55"/>
      <c r="N99" s="55"/>
      <c r="O99" s="55"/>
      <c r="P99" s="55"/>
    </row>
    <row r="100" spans="1:16" ht="12.75" customHeight="1" x14ac:dyDescent="0.25">
      <c r="A100" s="371" t="s">
        <v>130</v>
      </c>
      <c r="B100" s="119" t="s">
        <v>193</v>
      </c>
      <c r="C100" s="120" t="s">
        <v>184</v>
      </c>
      <c r="D100" s="101"/>
      <c r="E100" s="355"/>
      <c r="F100" s="309"/>
      <c r="G100" s="55"/>
      <c r="H100" s="55"/>
      <c r="I100" s="55"/>
      <c r="J100" s="55"/>
      <c r="K100" s="55"/>
      <c r="L100" s="55"/>
      <c r="M100" s="55"/>
      <c r="N100" s="55"/>
      <c r="O100" s="55"/>
      <c r="P100" s="55"/>
    </row>
    <row r="101" spans="1:16" ht="25.5" customHeight="1" x14ac:dyDescent="0.25">
      <c r="A101" s="364"/>
      <c r="B101" s="121" t="s">
        <v>195</v>
      </c>
      <c r="C101" s="360" t="s">
        <v>186</v>
      </c>
      <c r="D101" s="349" t="s">
        <v>521</v>
      </c>
      <c r="E101" s="355"/>
      <c r="F101" s="309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 spans="1:16" ht="21.75" customHeight="1" x14ac:dyDescent="0.25">
      <c r="A102" s="364"/>
      <c r="B102" s="121" t="s">
        <v>197</v>
      </c>
      <c r="C102" s="322"/>
      <c r="D102" s="322"/>
      <c r="E102" s="355"/>
      <c r="F102" s="309"/>
      <c r="G102" s="55"/>
      <c r="H102" s="55"/>
      <c r="I102" s="55"/>
      <c r="J102" s="55"/>
      <c r="K102" s="55"/>
      <c r="L102" s="55"/>
      <c r="M102" s="55"/>
      <c r="N102" s="55"/>
      <c r="O102" s="55"/>
      <c r="P102" s="55"/>
    </row>
    <row r="103" spans="1:16" ht="12.75" customHeight="1" x14ac:dyDescent="0.25">
      <c r="A103" s="365"/>
      <c r="B103" s="121" t="s">
        <v>199</v>
      </c>
      <c r="C103" s="121" t="s">
        <v>522</v>
      </c>
      <c r="D103" s="101"/>
      <c r="E103" s="355"/>
      <c r="F103" s="309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spans="1:16" ht="12.75" customHeight="1" x14ac:dyDescent="0.25">
      <c r="A104" s="373" t="s">
        <v>135</v>
      </c>
      <c r="B104" s="374" t="s">
        <v>418</v>
      </c>
      <c r="C104" s="361" t="s">
        <v>523</v>
      </c>
      <c r="D104" s="349" t="s">
        <v>524</v>
      </c>
      <c r="E104" s="355"/>
      <c r="F104" s="309"/>
      <c r="G104" s="55"/>
      <c r="H104" s="55"/>
      <c r="I104" s="55"/>
      <c r="J104" s="55"/>
      <c r="K104" s="55"/>
      <c r="L104" s="55"/>
      <c r="M104" s="55"/>
      <c r="N104" s="55"/>
      <c r="O104" s="55"/>
      <c r="P104" s="55"/>
    </row>
    <row r="105" spans="1:16" ht="25.5" customHeight="1" x14ac:dyDescent="0.25">
      <c r="A105" s="364"/>
      <c r="B105" s="321"/>
      <c r="C105" s="321"/>
      <c r="D105" s="321"/>
      <c r="E105" s="79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</row>
    <row r="106" spans="1:16" ht="12.75" customHeight="1" x14ac:dyDescent="0.25">
      <c r="A106" s="364"/>
      <c r="B106" s="322"/>
      <c r="C106" s="322"/>
      <c r="D106" s="322"/>
      <c r="E106" s="79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</row>
    <row r="107" spans="1:16" ht="12.75" customHeight="1" x14ac:dyDescent="0.25">
      <c r="A107" s="364"/>
      <c r="B107" s="122" t="s">
        <v>209</v>
      </c>
      <c r="C107" s="123" t="s">
        <v>196</v>
      </c>
      <c r="D107" s="101"/>
      <c r="E107" s="79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</row>
    <row r="108" spans="1:16" ht="55.5" customHeight="1" x14ac:dyDescent="0.25">
      <c r="A108" s="364"/>
      <c r="B108" s="122" t="s">
        <v>388</v>
      </c>
      <c r="C108" s="122" t="s">
        <v>525</v>
      </c>
      <c r="D108" s="101"/>
      <c r="E108" s="79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</row>
    <row r="109" spans="1:16" ht="27.75" customHeight="1" x14ac:dyDescent="0.25">
      <c r="A109" s="364"/>
      <c r="B109" s="124" t="s">
        <v>430</v>
      </c>
      <c r="C109" s="125" t="s">
        <v>204</v>
      </c>
      <c r="D109" s="126" t="s">
        <v>524</v>
      </c>
      <c r="E109" s="79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</row>
    <row r="110" spans="1:16" ht="12.75" customHeight="1" x14ac:dyDescent="0.25">
      <c r="A110" s="364"/>
      <c r="B110" s="122" t="s">
        <v>219</v>
      </c>
      <c r="C110" s="127" t="s">
        <v>526</v>
      </c>
      <c r="D110" s="101"/>
      <c r="E110" s="79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spans="1:16" ht="12.75" customHeight="1" x14ac:dyDescent="0.25">
      <c r="A111" s="364"/>
      <c r="B111" s="124" t="s">
        <v>437</v>
      </c>
      <c r="C111" s="125" t="s">
        <v>204</v>
      </c>
      <c r="D111" s="101"/>
      <c r="E111" s="79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</row>
    <row r="112" spans="1:16" ht="12.75" customHeight="1" x14ac:dyDescent="0.25">
      <c r="A112" s="364"/>
      <c r="B112" s="122" t="s">
        <v>225</v>
      </c>
      <c r="C112" s="128" t="s">
        <v>527</v>
      </c>
      <c r="D112" s="101"/>
      <c r="E112" s="79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</row>
    <row r="113" spans="1:16" ht="12.75" customHeight="1" x14ac:dyDescent="0.25">
      <c r="A113" s="365"/>
      <c r="B113" s="122" t="s">
        <v>226</v>
      </c>
      <c r="C113" s="123" t="s">
        <v>528</v>
      </c>
      <c r="D113" s="101"/>
      <c r="E113" s="79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</row>
    <row r="114" spans="1:16" ht="12.75" customHeight="1" x14ac:dyDescent="0.25">
      <c r="A114" s="375" t="s">
        <v>140</v>
      </c>
      <c r="B114" s="129" t="s">
        <v>227</v>
      </c>
      <c r="C114" s="362" t="s">
        <v>210</v>
      </c>
      <c r="D114" s="352" t="s">
        <v>529</v>
      </c>
      <c r="E114" s="79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</row>
    <row r="115" spans="1:16" ht="12.75" customHeight="1" x14ac:dyDescent="0.25">
      <c r="A115" s="321"/>
      <c r="B115" s="129" t="s">
        <v>228</v>
      </c>
      <c r="C115" s="321"/>
      <c r="D115" s="321"/>
      <c r="E115" s="79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</row>
    <row r="116" spans="1:16" ht="12.75" customHeight="1" x14ac:dyDescent="0.25">
      <c r="A116" s="321"/>
      <c r="B116" s="129" t="s">
        <v>229</v>
      </c>
      <c r="C116" s="321"/>
      <c r="D116" s="321"/>
      <c r="E116" s="79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</row>
    <row r="117" spans="1:16" ht="12.75" customHeight="1" x14ac:dyDescent="0.25">
      <c r="A117" s="321"/>
      <c r="B117" s="129" t="s">
        <v>230</v>
      </c>
      <c r="C117" s="321"/>
      <c r="D117" s="321"/>
      <c r="E117" s="79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</row>
    <row r="118" spans="1:16" ht="12.75" customHeight="1" x14ac:dyDescent="0.25">
      <c r="A118" s="321"/>
      <c r="B118" s="129" t="s">
        <v>231</v>
      </c>
      <c r="C118" s="321"/>
      <c r="D118" s="321"/>
      <c r="E118" s="79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</row>
    <row r="119" spans="1:16" ht="12.75" customHeight="1" x14ac:dyDescent="0.25">
      <c r="A119" s="322"/>
      <c r="B119" s="129" t="s">
        <v>232</v>
      </c>
      <c r="C119" s="322"/>
      <c r="D119" s="322"/>
      <c r="E119" s="79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</row>
    <row r="120" spans="1:16" ht="12.75" customHeight="1" x14ac:dyDescent="0.25">
      <c r="A120" s="130"/>
      <c r="B120" s="79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</row>
    <row r="121" spans="1:16" ht="12.75" customHeight="1" x14ac:dyDescent="0.25">
      <c r="A121" s="376" t="s">
        <v>233</v>
      </c>
      <c r="B121" s="318"/>
      <c r="C121" s="319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</row>
    <row r="122" spans="1:16" ht="12.75" customHeight="1" x14ac:dyDescent="0.25">
      <c r="A122" s="377" t="s">
        <v>234</v>
      </c>
      <c r="B122" s="372" t="s">
        <v>235</v>
      </c>
      <c r="C122" s="319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</row>
    <row r="123" spans="1:16" ht="12.75" customHeight="1" x14ac:dyDescent="0.25">
      <c r="A123" s="321"/>
      <c r="B123" s="372" t="s">
        <v>236</v>
      </c>
      <c r="C123" s="319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</row>
    <row r="124" spans="1:16" ht="12.75" customHeight="1" x14ac:dyDescent="0.25">
      <c r="A124" s="321"/>
      <c r="B124" s="372" t="s">
        <v>237</v>
      </c>
      <c r="C124" s="319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</row>
    <row r="125" spans="1:16" ht="12.75" customHeight="1" x14ac:dyDescent="0.25">
      <c r="A125" s="321"/>
      <c r="B125" s="372" t="s">
        <v>238</v>
      </c>
      <c r="C125" s="319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</row>
    <row r="126" spans="1:16" ht="12.75" customHeight="1" x14ac:dyDescent="0.25">
      <c r="A126" s="321"/>
      <c r="B126" s="372" t="s">
        <v>239</v>
      </c>
      <c r="C126" s="319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</row>
    <row r="127" spans="1:16" ht="12.75" customHeight="1" x14ac:dyDescent="0.25">
      <c r="A127" s="321"/>
      <c r="B127" s="372" t="s">
        <v>240</v>
      </c>
      <c r="C127" s="319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</row>
    <row r="128" spans="1:16" ht="12.75" customHeight="1" x14ac:dyDescent="0.25">
      <c r="A128" s="321"/>
      <c r="B128" s="372" t="s">
        <v>241</v>
      </c>
      <c r="C128" s="319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</row>
    <row r="129" spans="1:16" ht="12.75" customHeight="1" x14ac:dyDescent="0.25">
      <c r="A129" s="321"/>
      <c r="B129" s="372" t="s">
        <v>242</v>
      </c>
      <c r="C129" s="319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</row>
    <row r="130" spans="1:16" ht="12.75" customHeight="1" x14ac:dyDescent="0.25">
      <c r="A130" s="321"/>
      <c r="B130" s="372" t="s">
        <v>243</v>
      </c>
      <c r="C130" s="319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</row>
    <row r="131" spans="1:16" ht="12.75" customHeight="1" x14ac:dyDescent="0.25">
      <c r="A131" s="321"/>
      <c r="B131" s="372" t="s">
        <v>244</v>
      </c>
      <c r="C131" s="319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</row>
    <row r="132" spans="1:16" ht="12.75" customHeight="1" x14ac:dyDescent="0.25">
      <c r="A132" s="321"/>
      <c r="B132" s="372" t="s">
        <v>245</v>
      </c>
      <c r="C132" s="319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</row>
    <row r="133" spans="1:16" ht="12.75" customHeight="1" x14ac:dyDescent="0.25">
      <c r="A133" s="321"/>
      <c r="B133" s="372" t="s">
        <v>246</v>
      </c>
      <c r="C133" s="319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</row>
    <row r="134" spans="1:16" ht="12.75" customHeight="1" x14ac:dyDescent="0.25">
      <c r="A134" s="321"/>
      <c r="B134" s="372" t="s">
        <v>247</v>
      </c>
      <c r="C134" s="319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</row>
    <row r="135" spans="1:16" ht="12.75" customHeight="1" x14ac:dyDescent="0.25">
      <c r="A135" s="321"/>
      <c r="B135" s="372" t="s">
        <v>248</v>
      </c>
      <c r="C135" s="319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</row>
    <row r="136" spans="1:16" ht="12.75" customHeight="1" x14ac:dyDescent="0.25">
      <c r="A136" s="321"/>
      <c r="B136" s="372" t="s">
        <v>249</v>
      </c>
      <c r="C136" s="319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</row>
    <row r="137" spans="1:16" ht="12.75" customHeight="1" x14ac:dyDescent="0.25">
      <c r="A137" s="322"/>
      <c r="B137" s="372" t="s">
        <v>250</v>
      </c>
      <c r="C137" s="319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</row>
    <row r="138" spans="1:16" ht="12.75" customHeight="1" x14ac:dyDescent="0.25">
      <c r="A138" s="377" t="s">
        <v>251</v>
      </c>
      <c r="B138" s="372" t="s">
        <v>252</v>
      </c>
      <c r="C138" s="319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</row>
    <row r="139" spans="1:16" ht="12.75" customHeight="1" x14ac:dyDescent="0.25">
      <c r="A139" s="321"/>
      <c r="B139" s="372" t="s">
        <v>253</v>
      </c>
      <c r="C139" s="31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</row>
    <row r="140" spans="1:16" ht="12.75" customHeight="1" x14ac:dyDescent="0.25">
      <c r="A140" s="321"/>
      <c r="B140" s="372" t="s">
        <v>254</v>
      </c>
      <c r="C140" s="31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</row>
    <row r="141" spans="1:16" ht="12.75" customHeight="1" x14ac:dyDescent="0.25">
      <c r="A141" s="321"/>
      <c r="B141" s="372" t="s">
        <v>255</v>
      </c>
      <c r="C141" s="31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</row>
    <row r="142" spans="1:16" ht="12.75" customHeight="1" x14ac:dyDescent="0.25">
      <c r="A142" s="321"/>
      <c r="B142" s="372" t="s">
        <v>256</v>
      </c>
      <c r="C142" s="31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</row>
    <row r="143" spans="1:16" ht="12.75" customHeight="1" x14ac:dyDescent="0.25">
      <c r="A143" s="321"/>
      <c r="B143" s="372" t="s">
        <v>257</v>
      </c>
      <c r="C143" s="31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</row>
    <row r="144" spans="1:16" ht="12.75" customHeight="1" x14ac:dyDescent="0.25">
      <c r="A144" s="321"/>
      <c r="B144" s="372" t="s">
        <v>258</v>
      </c>
      <c r="C144" s="31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</row>
    <row r="145" spans="1:16" ht="12.75" customHeight="1" x14ac:dyDescent="0.25">
      <c r="A145" s="321"/>
      <c r="B145" s="372" t="s">
        <v>259</v>
      </c>
      <c r="C145" s="31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</row>
    <row r="146" spans="1:16" ht="12.75" customHeight="1" x14ac:dyDescent="0.25">
      <c r="A146" s="321"/>
      <c r="B146" s="372" t="s">
        <v>260</v>
      </c>
      <c r="C146" s="31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</row>
    <row r="147" spans="1:16" ht="12.75" customHeight="1" x14ac:dyDescent="0.25">
      <c r="A147" s="322"/>
      <c r="B147" s="372" t="s">
        <v>261</v>
      </c>
      <c r="C147" s="31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</row>
    <row r="148" spans="1:16" ht="12.75" customHeight="1" x14ac:dyDescent="0.25">
      <c r="A148" s="377" t="s">
        <v>262</v>
      </c>
      <c r="B148" s="372" t="s">
        <v>263</v>
      </c>
      <c r="C148" s="31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</row>
    <row r="149" spans="1:16" ht="12.75" customHeight="1" x14ac:dyDescent="0.25">
      <c r="A149" s="321"/>
      <c r="B149" s="372" t="s">
        <v>264</v>
      </c>
      <c r="C149" s="31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</row>
    <row r="150" spans="1:16" ht="12.75" customHeight="1" x14ac:dyDescent="0.25">
      <c r="A150" s="321"/>
      <c r="B150" s="372" t="s">
        <v>265</v>
      </c>
      <c r="C150" s="31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</row>
    <row r="151" spans="1:16" ht="12.75" customHeight="1" x14ac:dyDescent="0.25">
      <c r="A151" s="321"/>
      <c r="B151" s="372" t="s">
        <v>266</v>
      </c>
      <c r="C151" s="31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</row>
    <row r="152" spans="1:16" ht="12.75" customHeight="1" x14ac:dyDescent="0.25">
      <c r="A152" s="321"/>
      <c r="B152" s="372" t="s">
        <v>267</v>
      </c>
      <c r="C152" s="31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</row>
    <row r="153" spans="1:16" ht="12.75" customHeight="1" x14ac:dyDescent="0.25">
      <c r="A153" s="321"/>
      <c r="B153" s="372" t="s">
        <v>268</v>
      </c>
      <c r="C153" s="31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</row>
    <row r="154" spans="1:16" ht="12.75" customHeight="1" x14ac:dyDescent="0.25">
      <c r="A154" s="321"/>
      <c r="B154" s="372" t="s">
        <v>269</v>
      </c>
      <c r="C154" s="31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</row>
    <row r="155" spans="1:16" ht="12.75" customHeight="1" x14ac:dyDescent="0.25">
      <c r="A155" s="321"/>
      <c r="B155" s="372" t="s">
        <v>270</v>
      </c>
      <c r="C155" s="31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  <row r="156" spans="1:16" ht="12.75" customHeight="1" x14ac:dyDescent="0.25">
      <c r="A156" s="322"/>
      <c r="B156" s="378" t="s">
        <v>271</v>
      </c>
      <c r="C156" s="31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</row>
    <row r="157" spans="1:16" ht="12.75" customHeight="1" x14ac:dyDescent="0.25">
      <c r="A157" s="377" t="s">
        <v>272</v>
      </c>
      <c r="B157" s="372" t="s">
        <v>273</v>
      </c>
      <c r="C157" s="31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8" spans="1:16" ht="12.75" customHeight="1" x14ac:dyDescent="0.25">
      <c r="A158" s="321"/>
      <c r="B158" s="372" t="s">
        <v>274</v>
      </c>
      <c r="C158" s="31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</row>
    <row r="159" spans="1:16" ht="12.75" customHeight="1" x14ac:dyDescent="0.25">
      <c r="A159" s="321"/>
      <c r="B159" s="372" t="s">
        <v>275</v>
      </c>
      <c r="C159" s="31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</row>
    <row r="160" spans="1:16" ht="12.75" customHeight="1" x14ac:dyDescent="0.25">
      <c r="A160" s="321"/>
      <c r="B160" s="372" t="s">
        <v>276</v>
      </c>
      <c r="C160" s="31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</row>
    <row r="161" spans="1:16" ht="12.75" customHeight="1" x14ac:dyDescent="0.25">
      <c r="A161" s="321"/>
      <c r="B161" s="372" t="s">
        <v>277</v>
      </c>
      <c r="C161" s="31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</row>
    <row r="162" spans="1:16" ht="12.75" customHeight="1" x14ac:dyDescent="0.25">
      <c r="A162" s="321"/>
      <c r="B162" s="372" t="s">
        <v>278</v>
      </c>
      <c r="C162" s="31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</row>
    <row r="163" spans="1:16" ht="12.75" customHeight="1" x14ac:dyDescent="0.25">
      <c r="A163" s="321"/>
      <c r="B163" s="372" t="s">
        <v>279</v>
      </c>
      <c r="C163" s="31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</row>
    <row r="164" spans="1:16" ht="12.75" customHeight="1" x14ac:dyDescent="0.25">
      <c r="A164" s="321"/>
      <c r="B164" s="372" t="s">
        <v>280</v>
      </c>
      <c r="C164" s="31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</row>
    <row r="165" spans="1:16" ht="12.75" customHeight="1" x14ac:dyDescent="0.25">
      <c r="A165" s="321"/>
      <c r="B165" s="372" t="s">
        <v>281</v>
      </c>
      <c r="C165" s="31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</row>
    <row r="166" spans="1:16" ht="12.75" customHeight="1" x14ac:dyDescent="0.25">
      <c r="A166" s="321"/>
      <c r="B166" s="372" t="s">
        <v>270</v>
      </c>
      <c r="C166" s="31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</row>
    <row r="167" spans="1:16" ht="12.75" customHeight="1" x14ac:dyDescent="0.25">
      <c r="A167" s="321"/>
      <c r="B167" s="372" t="s">
        <v>282</v>
      </c>
      <c r="C167" s="31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</row>
    <row r="168" spans="1:16" ht="12.75" customHeight="1" x14ac:dyDescent="0.25">
      <c r="A168" s="321"/>
      <c r="B168" s="372" t="s">
        <v>283</v>
      </c>
      <c r="C168" s="31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</row>
    <row r="169" spans="1:16" ht="12.75" customHeight="1" x14ac:dyDescent="0.25">
      <c r="A169" s="321"/>
      <c r="B169" s="372" t="s">
        <v>284</v>
      </c>
      <c r="C169" s="31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</row>
    <row r="170" spans="1:16" ht="12.75" customHeight="1" x14ac:dyDescent="0.25">
      <c r="A170" s="321"/>
      <c r="B170" s="372" t="s">
        <v>285</v>
      </c>
      <c r="C170" s="31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</row>
    <row r="171" spans="1:16" ht="12.75" customHeight="1" x14ac:dyDescent="0.25">
      <c r="A171" s="321"/>
      <c r="B171" s="372" t="s">
        <v>286</v>
      </c>
      <c r="C171" s="31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</row>
    <row r="172" spans="1:16" ht="12.75" customHeight="1" x14ac:dyDescent="0.25">
      <c r="A172" s="321"/>
      <c r="B172" s="372" t="s">
        <v>287</v>
      </c>
      <c r="C172" s="31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</row>
    <row r="173" spans="1:16" ht="12.75" customHeight="1" x14ac:dyDescent="0.25">
      <c r="A173" s="321"/>
      <c r="B173" s="372" t="s">
        <v>288</v>
      </c>
      <c r="C173" s="31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</row>
    <row r="174" spans="1:16" ht="12.75" customHeight="1" x14ac:dyDescent="0.25">
      <c r="A174" s="321"/>
      <c r="B174" s="372" t="s">
        <v>289</v>
      </c>
      <c r="C174" s="31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</row>
    <row r="175" spans="1:16" ht="12.75" customHeight="1" x14ac:dyDescent="0.25">
      <c r="A175" s="321"/>
      <c r="B175" s="372" t="s">
        <v>290</v>
      </c>
      <c r="C175" s="31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</row>
    <row r="176" spans="1:16" ht="12.75" customHeight="1" x14ac:dyDescent="0.25">
      <c r="A176" s="321"/>
      <c r="B176" s="372" t="s">
        <v>291</v>
      </c>
      <c r="C176" s="31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</row>
    <row r="177" spans="1:16" ht="12.75" customHeight="1" x14ac:dyDescent="0.25">
      <c r="A177" s="321"/>
      <c r="B177" s="372" t="s">
        <v>292</v>
      </c>
      <c r="C177" s="31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</row>
    <row r="178" spans="1:16" ht="12.75" customHeight="1" x14ac:dyDescent="0.25">
      <c r="A178" s="321"/>
      <c r="B178" s="372" t="s">
        <v>293</v>
      </c>
      <c r="C178" s="31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</row>
    <row r="179" spans="1:16" ht="12.75" customHeight="1" x14ac:dyDescent="0.25">
      <c r="A179" s="321"/>
      <c r="B179" s="372" t="s">
        <v>294</v>
      </c>
      <c r="C179" s="31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</row>
    <row r="180" spans="1:16" ht="12.75" customHeight="1" x14ac:dyDescent="0.25">
      <c r="A180" s="321"/>
      <c r="B180" s="372" t="s">
        <v>295</v>
      </c>
      <c r="C180" s="31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</row>
    <row r="181" spans="1:16" ht="12.75" customHeight="1" x14ac:dyDescent="0.25">
      <c r="A181" s="321"/>
      <c r="B181" s="372" t="s">
        <v>296</v>
      </c>
      <c r="C181" s="31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</row>
    <row r="182" spans="1:16" ht="12.75" customHeight="1" x14ac:dyDescent="0.25">
      <c r="A182" s="321"/>
      <c r="B182" s="372" t="s">
        <v>297</v>
      </c>
      <c r="C182" s="31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</row>
    <row r="183" spans="1:16" ht="12.75" customHeight="1" x14ac:dyDescent="0.25">
      <c r="A183" s="321"/>
      <c r="B183" s="372" t="s">
        <v>298</v>
      </c>
      <c r="C183" s="31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</row>
    <row r="184" spans="1:16" ht="12.75" customHeight="1" x14ac:dyDescent="0.25">
      <c r="A184" s="321"/>
      <c r="B184" s="372" t="s">
        <v>299</v>
      </c>
      <c r="C184" s="31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</row>
    <row r="185" spans="1:16" ht="12.75" customHeight="1" x14ac:dyDescent="0.25">
      <c r="A185" s="321"/>
      <c r="B185" s="372" t="s">
        <v>300</v>
      </c>
      <c r="C185" s="31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</row>
    <row r="186" spans="1:16" ht="12.75" customHeight="1" x14ac:dyDescent="0.25">
      <c r="A186" s="321"/>
      <c r="B186" s="372" t="s">
        <v>301</v>
      </c>
      <c r="C186" s="31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</row>
    <row r="187" spans="1:16" ht="12.75" customHeight="1" x14ac:dyDescent="0.25">
      <c r="A187" s="321"/>
      <c r="B187" s="372" t="s">
        <v>302</v>
      </c>
      <c r="C187" s="31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</row>
    <row r="188" spans="1:16" ht="12.75" customHeight="1" x14ac:dyDescent="0.25">
      <c r="A188" s="322"/>
      <c r="B188" s="372" t="s">
        <v>303</v>
      </c>
      <c r="C188" s="31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</row>
    <row r="189" spans="1:16" ht="12.75" customHeight="1" x14ac:dyDescent="0.25">
      <c r="A189" s="349" t="s">
        <v>304</v>
      </c>
      <c r="B189" s="372" t="s">
        <v>305</v>
      </c>
      <c r="C189" s="31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</row>
    <row r="190" spans="1:16" ht="12.75" customHeight="1" x14ac:dyDescent="0.25">
      <c r="A190" s="321"/>
      <c r="B190" s="372" t="s">
        <v>306</v>
      </c>
      <c r="C190" s="31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</row>
    <row r="191" spans="1:16" ht="12.75" customHeight="1" x14ac:dyDescent="0.25">
      <c r="A191" s="321"/>
      <c r="B191" s="372" t="s">
        <v>307</v>
      </c>
      <c r="C191" s="31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</row>
    <row r="192" spans="1:16" ht="12.75" customHeight="1" x14ac:dyDescent="0.25">
      <c r="A192" s="321"/>
      <c r="B192" s="372" t="s">
        <v>308</v>
      </c>
      <c r="C192" s="31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</row>
    <row r="193" spans="1:16" ht="12.75" customHeight="1" x14ac:dyDescent="0.25">
      <c r="A193" s="321"/>
      <c r="B193" s="372" t="s">
        <v>309</v>
      </c>
      <c r="C193" s="31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</row>
    <row r="194" spans="1:16" ht="12.75" customHeight="1" x14ac:dyDescent="0.25">
      <c r="A194" s="321"/>
      <c r="B194" s="372" t="s">
        <v>310</v>
      </c>
      <c r="C194" s="31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</row>
    <row r="195" spans="1:16" ht="12.75" customHeight="1" x14ac:dyDescent="0.25">
      <c r="A195" s="321"/>
      <c r="B195" s="372" t="s">
        <v>311</v>
      </c>
      <c r="C195" s="31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</row>
    <row r="196" spans="1:16" ht="12.75" customHeight="1" x14ac:dyDescent="0.25">
      <c r="A196" s="321"/>
      <c r="B196" s="372" t="s">
        <v>312</v>
      </c>
      <c r="C196" s="31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</row>
    <row r="197" spans="1:16" ht="12.75" customHeight="1" x14ac:dyDescent="0.25">
      <c r="A197" s="321"/>
      <c r="B197" s="372" t="s">
        <v>313</v>
      </c>
      <c r="C197" s="31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</row>
    <row r="198" spans="1:16" ht="12.75" customHeight="1" x14ac:dyDescent="0.25">
      <c r="A198" s="321"/>
      <c r="B198" s="372" t="s">
        <v>314</v>
      </c>
      <c r="C198" s="31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</row>
    <row r="199" spans="1:16" ht="12.75" customHeight="1" x14ac:dyDescent="0.25">
      <c r="A199" s="321"/>
      <c r="B199" s="372" t="s">
        <v>315</v>
      </c>
      <c r="C199" s="31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</row>
    <row r="200" spans="1:16" ht="12.75" customHeight="1" x14ac:dyDescent="0.25">
      <c r="A200" s="321"/>
      <c r="B200" s="372" t="s">
        <v>316</v>
      </c>
      <c r="C200" s="31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</row>
    <row r="201" spans="1:16" ht="12.75" customHeight="1" x14ac:dyDescent="0.25">
      <c r="A201" s="321"/>
      <c r="B201" s="372" t="s">
        <v>317</v>
      </c>
      <c r="C201" s="31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</row>
    <row r="202" spans="1:16" ht="12.75" customHeight="1" x14ac:dyDescent="0.25">
      <c r="A202" s="321"/>
      <c r="B202" s="372" t="s">
        <v>318</v>
      </c>
      <c r="C202" s="31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</row>
    <row r="203" spans="1:16" ht="12.75" customHeight="1" x14ac:dyDescent="0.25">
      <c r="A203" s="321"/>
      <c r="B203" s="372" t="s">
        <v>319</v>
      </c>
      <c r="C203" s="31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</row>
    <row r="204" spans="1:16" ht="12.75" customHeight="1" x14ac:dyDescent="0.25">
      <c r="A204" s="321"/>
      <c r="B204" s="372" t="s">
        <v>320</v>
      </c>
      <c r="C204" s="31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</row>
    <row r="205" spans="1:16" ht="12.75" customHeight="1" x14ac:dyDescent="0.25">
      <c r="A205" s="321"/>
      <c r="B205" s="372" t="s">
        <v>321</v>
      </c>
      <c r="C205" s="31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</row>
    <row r="206" spans="1:16" ht="12.75" customHeight="1" x14ac:dyDescent="0.25">
      <c r="A206" s="321"/>
      <c r="B206" s="372" t="s">
        <v>322</v>
      </c>
      <c r="C206" s="31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</row>
    <row r="207" spans="1:16" ht="12.75" customHeight="1" x14ac:dyDescent="0.25">
      <c r="A207" s="321"/>
      <c r="B207" s="372" t="s">
        <v>323</v>
      </c>
      <c r="C207" s="31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</row>
    <row r="208" spans="1:16" ht="12.75" customHeight="1" x14ac:dyDescent="0.25">
      <c r="A208" s="321"/>
      <c r="B208" s="372" t="s">
        <v>324</v>
      </c>
      <c r="C208" s="31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</row>
    <row r="209" spans="1:16" ht="12.75" customHeight="1" x14ac:dyDescent="0.25">
      <c r="A209" s="321"/>
      <c r="B209" s="372" t="s">
        <v>325</v>
      </c>
      <c r="C209" s="31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</row>
    <row r="210" spans="1:16" ht="12.75" customHeight="1" x14ac:dyDescent="0.25">
      <c r="A210" s="321"/>
      <c r="B210" s="372" t="s">
        <v>326</v>
      </c>
      <c r="C210" s="31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</row>
    <row r="211" spans="1:16" ht="12.75" customHeight="1" x14ac:dyDescent="0.25">
      <c r="A211" s="321"/>
      <c r="B211" s="372" t="s">
        <v>327</v>
      </c>
      <c r="C211" s="31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</row>
    <row r="212" spans="1:16" ht="12.75" customHeight="1" x14ac:dyDescent="0.25">
      <c r="A212" s="321"/>
      <c r="B212" s="372" t="s">
        <v>328</v>
      </c>
      <c r="C212" s="31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</row>
    <row r="213" spans="1:16" ht="12.75" customHeight="1" x14ac:dyDescent="0.25">
      <c r="A213" s="321"/>
      <c r="B213" s="372" t="s">
        <v>329</v>
      </c>
      <c r="C213" s="31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</row>
    <row r="214" spans="1:16" ht="12.75" customHeight="1" x14ac:dyDescent="0.25">
      <c r="A214" s="321"/>
      <c r="B214" s="372" t="s">
        <v>330</v>
      </c>
      <c r="C214" s="31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</row>
    <row r="215" spans="1:16" ht="12.75" customHeight="1" x14ac:dyDescent="0.25">
      <c r="A215" s="321"/>
      <c r="B215" s="372" t="s">
        <v>331</v>
      </c>
      <c r="C215" s="31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</row>
    <row r="216" spans="1:16" ht="12.75" customHeight="1" x14ac:dyDescent="0.25">
      <c r="A216" s="321"/>
      <c r="B216" s="372" t="s">
        <v>332</v>
      </c>
      <c r="C216" s="31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</row>
    <row r="217" spans="1:16" ht="12.75" customHeight="1" x14ac:dyDescent="0.25">
      <c r="A217" s="321"/>
      <c r="B217" s="372" t="s">
        <v>333</v>
      </c>
      <c r="C217" s="31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</row>
    <row r="218" spans="1:16" ht="12.75" customHeight="1" x14ac:dyDescent="0.25">
      <c r="A218" s="322"/>
      <c r="B218" s="372" t="s">
        <v>334</v>
      </c>
      <c r="C218" s="31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</row>
    <row r="219" spans="1:16" ht="12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</row>
    <row r="220" spans="1:16" ht="12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</row>
    <row r="221" spans="1:16" ht="12.7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</row>
    <row r="222" spans="1:16" ht="12.75" customHeigh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</row>
    <row r="223" spans="1:16" ht="12.75" customHeigh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</row>
    <row r="224" spans="1:16" ht="12.75" customHeigh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</row>
    <row r="225" spans="1:16" ht="12.75" customHeigh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</row>
    <row r="226" spans="1:16" ht="12.75" customHeigh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</row>
    <row r="227" spans="1:16" ht="12.75" customHeigh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</row>
    <row r="228" spans="1:16" ht="12.75" customHeigh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</row>
    <row r="229" spans="1:16" ht="12.75" customHeigh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</row>
    <row r="230" spans="1:16" ht="12.75" customHeigh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</row>
    <row r="231" spans="1:16" ht="12.75" customHeigh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</row>
    <row r="232" spans="1:16" ht="12.75" customHeigh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</row>
    <row r="233" spans="1:16" ht="12.75" customHeigh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</row>
    <row r="234" spans="1:16" ht="12.75" customHeigh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</row>
    <row r="235" spans="1:16" ht="12.75" customHeigh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</row>
    <row r="236" spans="1:16" ht="12.75" customHeigh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</row>
    <row r="237" spans="1:16" ht="12.75" customHeigh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</row>
    <row r="238" spans="1:16" ht="12.75" customHeigh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</row>
    <row r="239" spans="1:16" ht="12.75" customHeigh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</row>
    <row r="240" spans="1:16" ht="12.75" customHeigh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</row>
    <row r="241" spans="1:16" ht="12.75" customHeigh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</row>
    <row r="242" spans="1:16" ht="12.75" customHeigh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</row>
    <row r="243" spans="1:16" ht="12.75" customHeigh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</row>
    <row r="244" spans="1:16" ht="12.75" customHeigh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</row>
    <row r="245" spans="1:16" ht="12.75" customHeigh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</row>
    <row r="246" spans="1:16" ht="12.75" customHeigh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</row>
    <row r="247" spans="1:16" ht="12.75" customHeigh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</row>
    <row r="248" spans="1:16" ht="12.75" customHeigh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</row>
    <row r="249" spans="1:16" ht="12.75" customHeigh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</row>
    <row r="250" spans="1:16" ht="12.75" customHeigh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</row>
    <row r="251" spans="1:16" ht="12.75" customHeigh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</row>
    <row r="252" spans="1:16" ht="12.75" customHeigh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</row>
    <row r="253" spans="1:16" ht="12.75" customHeigh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</row>
    <row r="254" spans="1:16" ht="12.75" customHeigh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</row>
    <row r="255" spans="1:16" ht="12.75" customHeigh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</row>
    <row r="256" spans="1:16" ht="12.75" customHeigh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</row>
    <row r="257" spans="1:16" ht="12.75" customHeigh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</row>
    <row r="258" spans="1:16" ht="12.75" customHeigh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</row>
    <row r="259" spans="1:16" ht="12.75" customHeigh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</row>
    <row r="260" spans="1:16" ht="12.75" customHeigh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</row>
    <row r="261" spans="1:16" ht="12.75" customHeigh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</row>
    <row r="262" spans="1:16" ht="12.75" customHeigh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</row>
    <row r="263" spans="1:16" ht="12.75" customHeigh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</row>
    <row r="264" spans="1:16" ht="12.75" customHeigh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</row>
    <row r="265" spans="1:16" ht="12.75" customHeigh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</row>
    <row r="266" spans="1:16" ht="12.75" customHeigh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</row>
    <row r="267" spans="1:16" ht="12.75" customHeigh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</row>
    <row r="268" spans="1:16" ht="12.75" customHeigh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</row>
    <row r="269" spans="1:16" ht="12.75" customHeigh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</row>
    <row r="270" spans="1:16" ht="12.75" customHeigh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</row>
    <row r="271" spans="1:16" ht="12.75" customHeigh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 spans="1:16" ht="12.75" customHeigh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1:16" ht="12.75" customHeigh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</row>
    <row r="274" spans="1:16" ht="12.75" customHeigh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</row>
    <row r="275" spans="1:16" ht="12.75" customHeigh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</row>
    <row r="276" spans="1:16" ht="12.75" customHeigh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</row>
    <row r="277" spans="1:16" ht="12.75" customHeigh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</row>
    <row r="278" spans="1:16" ht="12.75" customHeigh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</row>
    <row r="279" spans="1:16" ht="12.75" customHeigh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</row>
    <row r="280" spans="1:16" ht="12.75" customHeigh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</row>
    <row r="281" spans="1:16" ht="12.75" customHeigh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</row>
    <row r="282" spans="1:16" ht="12.75" customHeigh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</row>
    <row r="283" spans="1:16" ht="12.75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</row>
    <row r="284" spans="1:16" ht="12.75" customHeigh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</row>
    <row r="285" spans="1:16" ht="12.75" customHeigh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</row>
    <row r="286" spans="1:16" ht="12.75" customHeigh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</row>
    <row r="287" spans="1:16" ht="12.75" customHeigh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</row>
    <row r="288" spans="1:16" ht="12.75" customHeigh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</row>
    <row r="289" spans="1:16" ht="12.75" customHeigh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</row>
    <row r="290" spans="1:16" ht="12.75" customHeigh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</row>
    <row r="291" spans="1:16" ht="12.75" customHeigh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</row>
    <row r="292" spans="1:16" ht="12.75" customHeigh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</row>
    <row r="293" spans="1:16" ht="12.75" customHeigh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</row>
    <row r="294" spans="1:16" ht="12.75" customHeigh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</row>
    <row r="295" spans="1:16" ht="12.75" customHeigh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</row>
    <row r="296" spans="1:16" ht="12.75" customHeigh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</row>
    <row r="297" spans="1:16" ht="12.75" customHeigh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</row>
    <row r="298" spans="1:16" ht="12.75" customHeigh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</row>
    <row r="299" spans="1:16" ht="12.75" customHeigh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</row>
    <row r="300" spans="1:16" ht="12.75" customHeigh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</row>
    <row r="301" spans="1:16" ht="12.75" customHeigh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</row>
    <row r="302" spans="1:16" ht="12.75" customHeigh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</row>
    <row r="303" spans="1:16" ht="12.75" customHeigh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</row>
    <row r="304" spans="1:16" ht="12.75" customHeigh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</row>
    <row r="305" spans="1:16" ht="12.75" customHeigh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</row>
    <row r="306" spans="1:16" ht="12.75" customHeigh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</row>
    <row r="307" spans="1:16" ht="12.75" customHeigh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</row>
    <row r="308" spans="1:16" ht="12.75" customHeigh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</row>
    <row r="309" spans="1:16" ht="12.75" customHeigh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</row>
    <row r="310" spans="1:16" ht="12.75" customHeigh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</row>
    <row r="311" spans="1:16" ht="12.75" customHeigh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</row>
    <row r="312" spans="1:16" ht="12.75" customHeigh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  <row r="313" spans="1:16" ht="12.75" customHeigh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1:16" ht="12.75" customHeigh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</row>
    <row r="315" spans="1:16" ht="12.75" customHeigh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</row>
    <row r="316" spans="1:16" ht="12.75" customHeigh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</row>
    <row r="317" spans="1:16" ht="12.75" customHeigh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</row>
    <row r="318" spans="1:16" ht="12.75" customHeigh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</row>
    <row r="319" spans="1:16" ht="12.75" customHeigh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</row>
    <row r="320" spans="1:16" ht="12.75" customHeigh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</row>
    <row r="321" spans="1:16" ht="12.75" customHeigh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</row>
    <row r="322" spans="1:16" ht="12.75" customHeigh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</row>
    <row r="323" spans="1:16" ht="12.75" customHeigh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</row>
    <row r="324" spans="1:16" ht="12.75" customHeigh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</row>
    <row r="325" spans="1:16" ht="12.75" customHeigh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</row>
    <row r="326" spans="1:16" ht="12.75" customHeigh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</row>
    <row r="327" spans="1:16" ht="12.75" customHeigh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</row>
    <row r="328" spans="1:16" ht="12.75" customHeigh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</row>
    <row r="329" spans="1:16" ht="12.75" customHeigh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</row>
    <row r="330" spans="1:16" ht="12.75" customHeigh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</row>
    <row r="331" spans="1:16" ht="12.75" customHeigh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</row>
    <row r="332" spans="1:16" ht="12.75" customHeigh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</row>
    <row r="333" spans="1:16" ht="12.75" customHeigh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</row>
    <row r="334" spans="1:16" ht="12.75" customHeigh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</row>
    <row r="335" spans="1:16" ht="12.75" customHeigh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</row>
    <row r="336" spans="1:16" ht="12.75" customHeigh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</row>
    <row r="337" spans="1:16" ht="12.75" customHeigh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</row>
    <row r="338" spans="1:16" ht="12.75" customHeigh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</row>
    <row r="339" spans="1:16" ht="12.75" customHeigh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</row>
    <row r="340" spans="1:16" ht="12.75" customHeigh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</row>
    <row r="341" spans="1:16" ht="12.75" customHeigh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</row>
    <row r="342" spans="1:16" ht="12.75" customHeigh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</row>
    <row r="343" spans="1:16" ht="12.75" customHeigh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</row>
    <row r="344" spans="1:16" ht="12.75" customHeigh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</row>
    <row r="345" spans="1:16" ht="12.75" customHeigh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</row>
    <row r="346" spans="1:16" ht="12.75" customHeigh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</row>
    <row r="347" spans="1:16" ht="12.75" customHeigh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</row>
    <row r="348" spans="1:16" ht="12.75" customHeigh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</row>
    <row r="349" spans="1:16" ht="12.75" customHeigh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</row>
    <row r="350" spans="1:16" ht="12.75" customHeigh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</row>
    <row r="351" spans="1:16" ht="12.75" customHeigh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</row>
    <row r="352" spans="1:16" ht="12.75" customHeigh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</row>
    <row r="353" spans="1:16" ht="12.75" customHeigh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</row>
    <row r="354" spans="1:16" ht="12.75" customHeigh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</row>
    <row r="355" spans="1:16" ht="12.75" customHeigh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</row>
    <row r="356" spans="1:16" ht="12.75" customHeigh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</row>
    <row r="357" spans="1:16" ht="12.75" customHeigh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</row>
    <row r="358" spans="1:16" ht="12.75" customHeigh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</row>
    <row r="359" spans="1:16" ht="12.75" customHeigh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</row>
    <row r="360" spans="1:16" ht="12.75" customHeigh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</row>
    <row r="361" spans="1:16" ht="12.75" customHeigh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</row>
    <row r="362" spans="1:16" ht="12.75" customHeigh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</row>
    <row r="363" spans="1:16" ht="12.75" customHeigh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</row>
    <row r="364" spans="1:16" ht="12.75" customHeigh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</row>
    <row r="365" spans="1:16" ht="12.75" customHeigh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</row>
    <row r="366" spans="1:16" ht="12.75" customHeigh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</row>
    <row r="367" spans="1:16" ht="12.75" customHeigh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</row>
    <row r="368" spans="1:16" ht="12.75" customHeigh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</row>
    <row r="369" spans="1:16" ht="12.75" customHeigh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</row>
    <row r="370" spans="1:16" ht="12.75" customHeigh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</row>
    <row r="371" spans="1:16" ht="12.75" customHeigh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</row>
    <row r="372" spans="1:16" ht="12.75" customHeigh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</row>
    <row r="373" spans="1:16" ht="12.75" customHeigh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</row>
    <row r="374" spans="1:16" ht="12.75" customHeigh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</row>
    <row r="375" spans="1:16" ht="12.75" customHeigh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</row>
    <row r="376" spans="1:16" ht="12.75" customHeigh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</row>
    <row r="377" spans="1:16" ht="12.75" customHeigh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</row>
    <row r="378" spans="1:16" ht="12.75" customHeigh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</row>
    <row r="379" spans="1:16" ht="12.75" customHeigh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</row>
    <row r="380" spans="1:16" ht="12.75" customHeigh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</row>
    <row r="381" spans="1:16" ht="12.75" customHeigh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</row>
    <row r="382" spans="1:16" ht="12.75" customHeigh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</row>
    <row r="383" spans="1:16" ht="12.75" customHeigh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</row>
    <row r="384" spans="1:16" ht="12.75" customHeigh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</row>
    <row r="385" spans="1:16" ht="12.75" customHeigh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</row>
    <row r="386" spans="1:16" ht="12.75" customHeigh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</row>
    <row r="387" spans="1:16" ht="12.75" customHeigh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</row>
    <row r="388" spans="1:16" ht="12.75" customHeigh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</row>
    <row r="389" spans="1:16" ht="12.75" customHeigh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</row>
    <row r="390" spans="1:16" ht="12.75" customHeigh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</row>
    <row r="391" spans="1:16" ht="12.75" customHeigh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</row>
    <row r="392" spans="1:16" ht="12.75" customHeigh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</row>
    <row r="393" spans="1:16" ht="12.75" customHeigh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</row>
    <row r="394" spans="1:16" ht="12.75" customHeigh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</row>
    <row r="395" spans="1:16" ht="12.75" customHeigh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</row>
    <row r="396" spans="1:16" ht="12.75" customHeigh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</row>
    <row r="397" spans="1:16" ht="12.75" customHeigh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</row>
    <row r="398" spans="1:16" ht="12.75" customHeigh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</row>
    <row r="399" spans="1:16" ht="12.75" customHeigh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</row>
    <row r="400" spans="1:16" ht="12.75" customHeigh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</row>
    <row r="401" spans="1:16" ht="12.75" customHeigh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</row>
    <row r="402" spans="1:16" ht="12.75" customHeigh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</row>
    <row r="403" spans="1:16" ht="12.75" customHeigh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</row>
    <row r="404" spans="1:16" ht="12.75" customHeigh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</row>
    <row r="405" spans="1:16" ht="12.75" customHeigh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</row>
    <row r="406" spans="1:16" ht="12.75" customHeigh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</row>
    <row r="407" spans="1:16" ht="12.75" customHeigh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</row>
    <row r="408" spans="1:16" ht="12.75" customHeigh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</row>
    <row r="409" spans="1:16" ht="12.75" customHeigh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</row>
    <row r="410" spans="1:16" ht="12.75" customHeigh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</row>
    <row r="411" spans="1:16" ht="12.75" customHeigh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</row>
    <row r="412" spans="1:16" ht="12.75" customHeigh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</row>
    <row r="413" spans="1:16" ht="12.75" customHeigh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</row>
    <row r="414" spans="1:16" ht="12.75" customHeigh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</row>
    <row r="415" spans="1:16" ht="12.75" customHeigh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</row>
    <row r="416" spans="1:16" ht="12.75" customHeigh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</row>
    <row r="417" spans="1:16" ht="12.75" customHeigh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</row>
    <row r="418" spans="1:16" ht="12.75" customHeigh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</row>
    <row r="419" spans="1:16" ht="12.75" customHeigh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</row>
    <row r="420" spans="1:16" ht="12.75" customHeigh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</row>
    <row r="421" spans="1:16" ht="12.75" customHeigh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</row>
    <row r="422" spans="1:16" ht="12.75" customHeigh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</row>
    <row r="423" spans="1:16" ht="12.75" customHeigh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</row>
    <row r="424" spans="1:16" ht="12.75" customHeigh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</row>
    <row r="425" spans="1:16" ht="12.75" customHeigh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</row>
    <row r="426" spans="1:16" ht="12.75" customHeigh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</row>
    <row r="427" spans="1:16" ht="12.75" customHeigh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</row>
    <row r="428" spans="1:16" ht="12.75" customHeigh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</row>
    <row r="429" spans="1:16" ht="12.75" customHeigh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</row>
    <row r="430" spans="1:16" ht="12.75" customHeigh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</row>
    <row r="431" spans="1:16" ht="12.75" customHeigh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</row>
    <row r="432" spans="1:16" ht="12.75" customHeigh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</row>
    <row r="433" spans="1:16" ht="12.75" customHeigh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</row>
    <row r="434" spans="1:16" ht="12.75" customHeigh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</row>
    <row r="435" spans="1:16" ht="12.75" customHeigh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</row>
    <row r="436" spans="1:16" ht="12.75" customHeigh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</row>
    <row r="437" spans="1:16" ht="12.75" customHeigh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</row>
    <row r="438" spans="1:16" ht="12.75" customHeigh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</row>
    <row r="439" spans="1:16" ht="12.75" customHeigh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</row>
    <row r="440" spans="1:16" ht="12.75" customHeigh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</row>
    <row r="441" spans="1:16" ht="12.75" customHeigh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</row>
    <row r="442" spans="1:16" ht="12.75" customHeigh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</row>
    <row r="443" spans="1:16" ht="12.75" customHeigh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</row>
    <row r="444" spans="1:16" ht="12.75" customHeigh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</row>
    <row r="445" spans="1:16" ht="12.75" customHeigh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</row>
    <row r="446" spans="1:16" ht="12.75" customHeigh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</row>
    <row r="447" spans="1:16" ht="12.75" customHeigh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</row>
    <row r="448" spans="1:16" ht="12.75" customHeigh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</row>
    <row r="449" spans="1:16" ht="12.75" customHeigh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</row>
    <row r="450" spans="1:16" ht="12.75" customHeigh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</row>
    <row r="451" spans="1:16" ht="12.75" customHeigh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</row>
    <row r="452" spans="1:16" ht="12.75" customHeigh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</row>
    <row r="453" spans="1:16" ht="12.75" customHeigh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</row>
    <row r="454" spans="1:16" ht="12.75" customHeigh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</row>
    <row r="455" spans="1:16" ht="12.75" customHeigh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</row>
    <row r="456" spans="1:16" ht="12.75" customHeigh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</row>
    <row r="457" spans="1:16" ht="12.75" customHeigh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</row>
    <row r="458" spans="1:16" ht="12.75" customHeigh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</row>
    <row r="459" spans="1:16" ht="12.75" customHeigh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</row>
    <row r="460" spans="1:16" ht="12.75" customHeigh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</row>
    <row r="461" spans="1:16" ht="12.75" customHeigh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</row>
    <row r="462" spans="1:16" ht="12.75" customHeigh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</row>
    <row r="463" spans="1:16" ht="12.75" customHeigh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</row>
    <row r="464" spans="1:16" ht="12.75" customHeigh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</row>
    <row r="465" spans="1:16" ht="12.75" customHeigh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</row>
    <row r="466" spans="1:16" ht="12.75" customHeigh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</row>
    <row r="467" spans="1:16" ht="12.75" customHeigh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</row>
    <row r="468" spans="1:16" ht="12.75" customHeigh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</row>
    <row r="469" spans="1:16" ht="12.75" customHeigh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</row>
    <row r="470" spans="1:16" ht="12.75" customHeigh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</row>
    <row r="471" spans="1:16" ht="12.75" customHeigh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</row>
    <row r="472" spans="1:16" ht="12.75" customHeigh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</row>
    <row r="473" spans="1:16" ht="12.75" customHeigh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</row>
    <row r="474" spans="1:16" ht="12.75" customHeigh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</row>
    <row r="475" spans="1:16" ht="12.75" customHeigh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</row>
    <row r="476" spans="1:16" ht="12.75" customHeigh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</row>
    <row r="477" spans="1:16" ht="12.75" customHeigh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</row>
    <row r="478" spans="1:16" ht="12.75" customHeigh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</row>
    <row r="479" spans="1:16" ht="12.75" customHeigh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</row>
    <row r="480" spans="1:16" ht="12.75" customHeigh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</row>
    <row r="481" spans="1:16" ht="12.75" customHeigh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</row>
    <row r="482" spans="1:16" ht="12.75" customHeigh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</row>
    <row r="483" spans="1:16" ht="12.75" customHeigh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</row>
    <row r="484" spans="1:16" ht="12.75" customHeigh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</row>
    <row r="485" spans="1:16" ht="12.75" customHeigh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</row>
    <row r="486" spans="1:16" ht="12.75" customHeigh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</row>
    <row r="487" spans="1:16" ht="12.75" customHeigh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</row>
    <row r="488" spans="1:16" ht="12.75" customHeigh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</row>
    <row r="489" spans="1:16" ht="12.75" customHeigh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</row>
    <row r="490" spans="1:16" ht="12.75" customHeigh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</row>
    <row r="491" spans="1:16" ht="12.75" customHeigh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</row>
    <row r="492" spans="1:16" ht="12.75" customHeigh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</row>
    <row r="493" spans="1:16" ht="12.75" customHeigh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</row>
    <row r="494" spans="1:16" ht="12.75" customHeigh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</row>
    <row r="495" spans="1:16" ht="12.75" customHeigh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</row>
    <row r="496" spans="1:16" ht="12.75" customHeigh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</row>
    <row r="497" spans="1:16" ht="12.75" customHeigh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</row>
    <row r="498" spans="1:16" ht="12.75" customHeigh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</row>
    <row r="499" spans="1:16" ht="12.75" customHeigh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</row>
    <row r="500" spans="1:16" ht="12.75" customHeigh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</row>
    <row r="501" spans="1:16" ht="12.75" customHeigh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</row>
    <row r="502" spans="1:16" ht="12.75" customHeigh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</row>
    <row r="503" spans="1:16" ht="12.75" customHeigh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</row>
    <row r="504" spans="1:16" ht="12.75" customHeigh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</row>
    <row r="505" spans="1:16" ht="12.75" customHeigh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</row>
    <row r="506" spans="1:16" ht="12.75" customHeigh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</row>
    <row r="507" spans="1:16" ht="12.75" customHeigh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</row>
    <row r="508" spans="1:16" ht="12.75" customHeigh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</row>
    <row r="509" spans="1:16" ht="12.75" customHeigh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</row>
    <row r="510" spans="1:16" ht="12.75" customHeigh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</row>
    <row r="511" spans="1:16" ht="12.75" customHeigh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</row>
    <row r="512" spans="1:16" ht="12.75" customHeigh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</row>
    <row r="513" spans="1:16" ht="12.75" customHeigh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</row>
    <row r="514" spans="1:16" ht="12.75" customHeigh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</row>
    <row r="515" spans="1:16" ht="12.75" customHeigh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</row>
    <row r="516" spans="1:16" ht="12.75" customHeigh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</row>
    <row r="517" spans="1:16" ht="12.75" customHeigh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</row>
    <row r="518" spans="1:16" ht="12.75" customHeigh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</row>
    <row r="519" spans="1:16" ht="12.75" customHeigh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</row>
    <row r="520" spans="1:16" ht="12.75" customHeigh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</row>
    <row r="521" spans="1:16" ht="12.75" customHeigh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</row>
    <row r="522" spans="1:16" ht="12.75" customHeigh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</row>
    <row r="523" spans="1:16" ht="12.75" customHeigh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</row>
    <row r="524" spans="1:16" ht="12.75" customHeigh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</row>
    <row r="525" spans="1:16" ht="12.75" customHeigh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</row>
    <row r="526" spans="1:16" ht="12.75" customHeigh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</row>
    <row r="527" spans="1:16" ht="12.75" customHeigh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</row>
    <row r="528" spans="1:16" ht="12.75" customHeigh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</row>
    <row r="529" spans="1:16" ht="12.75" customHeigh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</row>
    <row r="530" spans="1:16" ht="12.75" customHeigh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</row>
    <row r="531" spans="1:16" ht="12.75" customHeigh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</row>
    <row r="532" spans="1:16" ht="12.75" customHeigh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</row>
    <row r="533" spans="1:16" ht="12.75" customHeigh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</row>
    <row r="534" spans="1:16" ht="12.75" customHeigh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</row>
    <row r="535" spans="1:16" ht="12.75" customHeigh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</row>
    <row r="536" spans="1:16" ht="12.75" customHeigh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</row>
    <row r="537" spans="1:16" ht="12.75" customHeigh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</row>
    <row r="538" spans="1:16" ht="12.75" customHeigh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</row>
    <row r="539" spans="1:16" ht="12.75" customHeigh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</row>
    <row r="540" spans="1:16" ht="12.75" customHeigh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</row>
    <row r="541" spans="1:16" ht="12.75" customHeigh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</row>
    <row r="542" spans="1:16" ht="12.75" customHeigh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</row>
    <row r="543" spans="1:16" ht="12.75" customHeigh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</row>
    <row r="544" spans="1:16" ht="12.75" customHeigh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</row>
    <row r="545" spans="1:16" ht="12.75" customHeigh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</row>
    <row r="546" spans="1:16" ht="12.75" customHeigh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</row>
    <row r="547" spans="1:16" ht="12.75" customHeigh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</row>
    <row r="548" spans="1:16" ht="12.75" customHeigh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</row>
    <row r="549" spans="1:16" ht="12.75" customHeigh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</row>
    <row r="550" spans="1:16" ht="12.75" customHeigh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</row>
    <row r="551" spans="1:16" ht="12.75" customHeigh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</row>
    <row r="552" spans="1:16" ht="12.75" customHeigh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</row>
    <row r="553" spans="1:16" ht="12.75" customHeigh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</row>
    <row r="554" spans="1:16" ht="12.75" customHeigh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</row>
    <row r="555" spans="1:16" ht="12.75" customHeigh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</row>
    <row r="556" spans="1:16" ht="12.75" customHeigh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</row>
    <row r="557" spans="1:16" ht="12.75" customHeigh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</row>
    <row r="558" spans="1:16" ht="12.75" customHeigh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</row>
    <row r="559" spans="1:16" ht="12.75" customHeigh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</row>
    <row r="560" spans="1:16" ht="12.75" customHeigh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</row>
    <row r="561" spans="1:16" ht="12.75" customHeigh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</row>
    <row r="562" spans="1:16" ht="12.75" customHeigh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</row>
    <row r="563" spans="1:16" ht="12.75" customHeigh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</row>
    <row r="564" spans="1:16" ht="12.75" customHeigh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</row>
    <row r="565" spans="1:16" ht="12.75" customHeigh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</row>
    <row r="566" spans="1:16" ht="12.75" customHeigh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</row>
    <row r="567" spans="1:16" ht="12.75" customHeigh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</row>
    <row r="568" spans="1:16" ht="12.75" customHeigh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</row>
    <row r="569" spans="1:16" ht="12.75" customHeigh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</row>
    <row r="570" spans="1:16" ht="12.75" customHeigh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</row>
    <row r="571" spans="1:16" ht="12.75" customHeigh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</row>
    <row r="572" spans="1:16" ht="12.75" customHeigh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</row>
    <row r="573" spans="1:16" ht="12.75" customHeigh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</row>
    <row r="574" spans="1:16" ht="12.75" customHeigh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</row>
    <row r="575" spans="1:16" ht="12.75" customHeigh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</row>
    <row r="576" spans="1:16" ht="12.75" customHeigh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</row>
    <row r="577" spans="1:16" ht="12.75" customHeigh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</row>
    <row r="578" spans="1:16" ht="12.75" customHeigh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</row>
    <row r="579" spans="1:16" ht="12.75" customHeigh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</row>
    <row r="580" spans="1:16" ht="12.75" customHeigh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</row>
    <row r="581" spans="1:16" ht="12.75" customHeigh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</row>
    <row r="582" spans="1:16" ht="12.75" customHeigh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</row>
    <row r="583" spans="1:16" ht="12.75" customHeigh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</row>
    <row r="584" spans="1:16" ht="12.75" customHeigh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</row>
    <row r="585" spans="1:16" ht="12.75" customHeigh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</row>
    <row r="586" spans="1:16" ht="12.75" customHeigh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</row>
    <row r="587" spans="1:16" ht="12.75" customHeigh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</row>
    <row r="588" spans="1:16" ht="12.75" customHeigh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</row>
    <row r="589" spans="1:16" ht="12.75" customHeigh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</row>
    <row r="590" spans="1:16" ht="12.75" customHeigh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</row>
    <row r="591" spans="1:16" ht="12.75" customHeigh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</row>
    <row r="592" spans="1:16" ht="12.75" customHeigh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</row>
    <row r="593" spans="1:16" ht="12.75" customHeigh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</row>
    <row r="594" spans="1:16" ht="12.75" customHeigh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</row>
    <row r="595" spans="1:16" ht="12.75" customHeigh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</row>
    <row r="596" spans="1:16" ht="12.75" customHeigh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</row>
    <row r="597" spans="1:16" ht="12.75" customHeigh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</row>
    <row r="598" spans="1:16" ht="12.75" customHeigh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</row>
    <row r="599" spans="1:16" ht="12.75" customHeigh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</row>
    <row r="600" spans="1:16" ht="12.75" customHeigh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</row>
    <row r="601" spans="1:16" ht="12.75" customHeigh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</row>
    <row r="602" spans="1:16" ht="12.75" customHeigh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</row>
    <row r="603" spans="1:16" ht="12.75" customHeigh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</row>
    <row r="604" spans="1:16" ht="12.75" customHeigh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</row>
    <row r="605" spans="1:16" ht="12.75" customHeigh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</row>
    <row r="606" spans="1:16" ht="12.75" customHeigh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</row>
    <row r="607" spans="1:16" ht="12.75" customHeigh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</row>
    <row r="608" spans="1:16" ht="12.75" customHeigh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</row>
    <row r="609" spans="1:16" ht="12.75" customHeigh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</row>
    <row r="610" spans="1:16" ht="12.75" customHeigh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</row>
    <row r="611" spans="1:16" ht="12.75" customHeigh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</row>
    <row r="612" spans="1:16" ht="12.75" customHeigh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</row>
    <row r="613" spans="1:16" ht="12.75" customHeigh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</row>
    <row r="614" spans="1:16" ht="12.75" customHeigh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</row>
    <row r="615" spans="1:16" ht="12.75" customHeigh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</row>
    <row r="616" spans="1:16" ht="12.75" customHeigh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</row>
    <row r="617" spans="1:16" ht="12.75" customHeigh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</row>
    <row r="618" spans="1:16" ht="12.75" customHeigh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</row>
    <row r="619" spans="1:16" ht="12.75" customHeigh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</row>
    <row r="620" spans="1:16" ht="12.75" customHeigh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</row>
    <row r="621" spans="1:16" ht="12.75" customHeigh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</row>
    <row r="622" spans="1:16" ht="12.75" customHeigh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</row>
    <row r="623" spans="1:16" ht="12.75" customHeigh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</row>
    <row r="624" spans="1:16" ht="12.75" customHeigh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</row>
    <row r="625" spans="1:16" ht="12.75" customHeigh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</row>
    <row r="626" spans="1:16" ht="12.75" customHeigh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</row>
    <row r="627" spans="1:16" ht="12.75" customHeigh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</row>
    <row r="628" spans="1:16" ht="12.75" customHeigh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</row>
    <row r="629" spans="1:16" ht="12.75" customHeigh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</row>
    <row r="630" spans="1:16" ht="12.75" customHeigh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</row>
    <row r="631" spans="1:16" ht="12.75" customHeigh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</row>
    <row r="632" spans="1:16" ht="12.75" customHeigh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</row>
    <row r="633" spans="1:16" ht="12.75" customHeigh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</row>
    <row r="634" spans="1:16" ht="12.75" customHeigh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</row>
    <row r="635" spans="1:16" ht="12.75" customHeigh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</row>
    <row r="636" spans="1:16" ht="12.75" customHeigh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</row>
    <row r="637" spans="1:16" ht="12.75" customHeigh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</row>
    <row r="638" spans="1:16" ht="12.75" customHeigh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</row>
    <row r="639" spans="1:16" ht="12.75" customHeigh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</row>
    <row r="640" spans="1:16" ht="12.75" customHeigh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</row>
    <row r="641" spans="1:16" ht="12.75" customHeigh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</row>
    <row r="642" spans="1:16" ht="12.75" customHeigh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</row>
    <row r="643" spans="1:16" ht="12.75" customHeigh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</row>
    <row r="644" spans="1:16" ht="12.75" customHeigh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</row>
    <row r="645" spans="1:16" ht="12.75" customHeigh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</row>
    <row r="646" spans="1:16" ht="12.75" customHeigh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</row>
    <row r="647" spans="1:16" ht="12.75" customHeigh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</row>
    <row r="648" spans="1:16" ht="12.75" customHeigh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</row>
    <row r="649" spans="1:16" ht="12.75" customHeigh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</row>
    <row r="650" spans="1:16" ht="12.75" customHeigh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</row>
    <row r="651" spans="1:16" ht="12.75" customHeigh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</row>
    <row r="652" spans="1:16" ht="12.75" customHeigh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</row>
    <row r="653" spans="1:16" ht="12.75" customHeigh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</row>
    <row r="654" spans="1:16" ht="12.75" customHeigh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</row>
    <row r="655" spans="1:16" ht="12.75" customHeigh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</row>
    <row r="656" spans="1:16" ht="12.75" customHeigh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</row>
    <row r="657" spans="1:16" ht="12.75" customHeigh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</row>
    <row r="658" spans="1:16" ht="12.75" customHeigh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</row>
    <row r="659" spans="1:16" ht="12.75" customHeigh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</row>
    <row r="660" spans="1:16" ht="12.75" customHeigh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</row>
    <row r="661" spans="1:16" ht="12.75" customHeigh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</row>
    <row r="662" spans="1:16" ht="12.75" customHeigh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</row>
    <row r="663" spans="1:16" ht="12.75" customHeigh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</row>
    <row r="664" spans="1:16" ht="12.75" customHeigh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</row>
    <row r="665" spans="1:16" ht="12.75" customHeigh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</row>
    <row r="666" spans="1:16" ht="12.75" customHeigh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</row>
    <row r="667" spans="1:16" ht="12.75" customHeigh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</row>
    <row r="668" spans="1:16" ht="12.75" customHeigh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</row>
    <row r="669" spans="1:16" ht="12.75" customHeigh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</row>
    <row r="670" spans="1:16" ht="12.75" customHeigh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</row>
    <row r="671" spans="1:16" ht="12.75" customHeigh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</row>
    <row r="672" spans="1:16" ht="12.75" customHeigh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</row>
    <row r="673" spans="1:16" ht="12.75" customHeigh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</row>
    <row r="674" spans="1:16" ht="12.75" customHeigh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</row>
    <row r="675" spans="1:16" ht="12.75" customHeigh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</row>
    <row r="676" spans="1:16" ht="12.75" customHeigh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</row>
    <row r="677" spans="1:16" ht="12.75" customHeigh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</row>
    <row r="678" spans="1:16" ht="12.75" customHeigh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</row>
    <row r="679" spans="1:16" ht="12.75" customHeigh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</row>
    <row r="680" spans="1:16" ht="12.75" customHeigh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</row>
    <row r="681" spans="1:16" ht="12.75" customHeigh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</row>
    <row r="682" spans="1:16" ht="12.75" customHeigh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</row>
    <row r="683" spans="1:16" ht="12.75" customHeigh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</row>
    <row r="684" spans="1:16" ht="12.75" customHeigh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</row>
    <row r="685" spans="1:16" ht="12.75" customHeigh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</row>
    <row r="686" spans="1:16" ht="12.75" customHeigh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</row>
    <row r="687" spans="1:16" ht="12.75" customHeigh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</row>
    <row r="688" spans="1:16" ht="12.75" customHeigh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</row>
    <row r="689" spans="1:16" ht="12.75" customHeigh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</row>
    <row r="690" spans="1:16" ht="12.75" customHeigh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</row>
    <row r="691" spans="1:16" ht="12.75" customHeigh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</row>
    <row r="692" spans="1:16" ht="12.75" customHeigh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</row>
    <row r="693" spans="1:16" ht="12.75" customHeigh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</row>
    <row r="694" spans="1:16" ht="12.75" customHeigh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</row>
    <row r="695" spans="1:16" ht="12.75" customHeigh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</row>
    <row r="696" spans="1:16" ht="12.75" customHeigh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</row>
    <row r="697" spans="1:16" ht="12.75" customHeigh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</row>
    <row r="698" spans="1:16" ht="12.75" customHeigh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</row>
    <row r="699" spans="1:16" ht="12.75" customHeigh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</row>
    <row r="700" spans="1:16" ht="12.75" customHeigh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</row>
    <row r="701" spans="1:16" ht="12.75" customHeigh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</row>
    <row r="702" spans="1:16" ht="12.75" customHeigh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</row>
    <row r="703" spans="1:16" ht="12.75" customHeigh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</row>
    <row r="704" spans="1:16" ht="12.75" customHeigh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</row>
    <row r="705" spans="1:16" ht="12.75" customHeigh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</row>
    <row r="706" spans="1:16" ht="12.75" customHeigh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</row>
    <row r="707" spans="1:16" ht="12.75" customHeigh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</row>
    <row r="708" spans="1:16" ht="12.75" customHeigh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</row>
    <row r="709" spans="1:16" ht="12.75" customHeigh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</row>
    <row r="710" spans="1:16" ht="12.75" customHeigh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</row>
    <row r="711" spans="1:16" ht="12.75" customHeigh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</row>
    <row r="712" spans="1:16" ht="12.75" customHeigh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</row>
    <row r="713" spans="1:16" ht="12.75" customHeigh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</row>
    <row r="714" spans="1:16" ht="12.75" customHeigh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</row>
    <row r="715" spans="1:16" ht="12.75" customHeigh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</row>
    <row r="716" spans="1:16" ht="12.75" customHeigh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</row>
    <row r="717" spans="1:16" ht="12.75" customHeigh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</row>
    <row r="718" spans="1:16" ht="12.75" customHeigh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</row>
    <row r="719" spans="1:16" ht="12.75" customHeigh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</row>
    <row r="720" spans="1:16" ht="12.75" customHeigh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</row>
    <row r="721" spans="1:16" ht="12.75" customHeigh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</row>
    <row r="722" spans="1:16" ht="12.75" customHeigh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</row>
    <row r="723" spans="1:16" ht="12.75" customHeigh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</row>
    <row r="724" spans="1:16" ht="12.75" customHeigh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</row>
    <row r="725" spans="1:16" ht="12.75" customHeigh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</row>
    <row r="726" spans="1:16" ht="12.75" customHeigh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</row>
    <row r="727" spans="1:16" ht="12.75" customHeigh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</row>
    <row r="728" spans="1:16" ht="12.75" customHeigh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</row>
    <row r="729" spans="1:16" ht="12.75" customHeigh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</row>
    <row r="730" spans="1:16" ht="12.75" customHeigh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</row>
    <row r="731" spans="1:16" ht="12.75" customHeigh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</row>
    <row r="732" spans="1:16" ht="12.75" customHeigh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</row>
    <row r="733" spans="1:16" ht="12.75" customHeigh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</row>
    <row r="734" spans="1:16" ht="12.75" customHeigh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</row>
    <row r="735" spans="1:16" ht="12.75" customHeigh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</row>
    <row r="736" spans="1:16" ht="12.75" customHeigh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</row>
    <row r="737" spans="1:16" ht="12.75" customHeigh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</row>
    <row r="738" spans="1:16" ht="12.75" customHeigh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</row>
    <row r="739" spans="1:16" ht="12.75" customHeigh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</row>
    <row r="740" spans="1:16" ht="12.75" customHeigh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</row>
    <row r="741" spans="1:16" ht="12.75" customHeigh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</row>
    <row r="742" spans="1:16" ht="12.75" customHeigh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</row>
    <row r="743" spans="1:16" ht="12.75" customHeigh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</row>
    <row r="744" spans="1:16" ht="12.75" customHeigh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</row>
    <row r="745" spans="1:16" ht="12.75" customHeigh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</row>
    <row r="746" spans="1:16" ht="12.75" customHeigh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</row>
    <row r="747" spans="1:16" ht="12.75" customHeigh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</row>
    <row r="748" spans="1:16" ht="12.75" customHeigh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</row>
    <row r="749" spans="1:16" ht="12.75" customHeigh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</row>
    <row r="750" spans="1:16" ht="12.75" customHeigh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</row>
    <row r="751" spans="1:16" ht="12.75" customHeigh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</row>
    <row r="752" spans="1:16" ht="12.75" customHeigh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</row>
    <row r="753" spans="1:16" ht="12.75" customHeigh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</row>
    <row r="754" spans="1:16" ht="12.75" customHeigh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</row>
    <row r="755" spans="1:16" ht="12.75" customHeigh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</row>
    <row r="756" spans="1:16" ht="12.75" customHeigh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</row>
    <row r="757" spans="1:16" ht="12.75" customHeigh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</row>
    <row r="758" spans="1:16" ht="12.75" customHeigh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</row>
    <row r="759" spans="1:16" ht="12.75" customHeigh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</row>
    <row r="760" spans="1:16" ht="12.75" customHeigh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</row>
    <row r="761" spans="1:16" ht="12.75" customHeigh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</row>
    <row r="762" spans="1:16" ht="12.75" customHeigh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</row>
    <row r="763" spans="1:16" ht="12.75" customHeigh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</row>
    <row r="764" spans="1:16" ht="12.75" customHeigh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</row>
    <row r="765" spans="1:16" ht="12.75" customHeigh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</row>
    <row r="766" spans="1:16" ht="12.75" customHeigh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</row>
    <row r="767" spans="1:16" ht="12.75" customHeigh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</row>
    <row r="768" spans="1:16" ht="12.75" customHeigh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</row>
    <row r="769" spans="1:16" ht="12.75" customHeigh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</row>
    <row r="770" spans="1:16" ht="12.75" customHeigh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</row>
    <row r="771" spans="1:16" ht="12.75" customHeigh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</row>
    <row r="772" spans="1:16" ht="12.75" customHeigh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</row>
    <row r="773" spans="1:16" ht="12.75" customHeigh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</row>
    <row r="774" spans="1:16" ht="12.75" customHeigh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</row>
    <row r="775" spans="1:16" ht="12.75" customHeigh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</row>
    <row r="776" spans="1:16" ht="12.75" customHeigh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</row>
    <row r="777" spans="1:16" ht="12.75" customHeigh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</row>
    <row r="778" spans="1:16" ht="12.75" customHeigh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</row>
    <row r="779" spans="1:16" ht="12.75" customHeigh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</row>
    <row r="780" spans="1:16" ht="12.75" customHeigh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</row>
    <row r="781" spans="1:16" ht="12.75" customHeigh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</row>
    <row r="782" spans="1:16" ht="12.75" customHeigh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</row>
    <row r="783" spans="1:16" ht="12.75" customHeigh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</row>
    <row r="784" spans="1:16" ht="12.75" customHeigh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</row>
    <row r="785" spans="1:16" ht="12.75" customHeigh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</row>
    <row r="786" spans="1:16" ht="12.75" customHeigh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</row>
    <row r="787" spans="1:16" ht="12.75" customHeigh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</row>
    <row r="788" spans="1:16" ht="12.75" customHeigh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</row>
    <row r="789" spans="1:16" ht="12.75" customHeigh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</row>
    <row r="790" spans="1:16" ht="12.75" customHeigh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</row>
    <row r="791" spans="1:16" ht="12.75" customHeigh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</row>
    <row r="792" spans="1:16" ht="12.75" customHeigh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</row>
    <row r="793" spans="1:16" ht="12.75" customHeigh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</row>
    <row r="794" spans="1:16" ht="12.75" customHeigh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</row>
    <row r="795" spans="1:16" ht="12.75" customHeigh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</row>
    <row r="796" spans="1:16" ht="12.75" customHeigh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</row>
    <row r="797" spans="1:16" ht="12.75" customHeigh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</row>
    <row r="798" spans="1:16" ht="12.75" customHeigh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</row>
    <row r="799" spans="1:16" ht="12.75" customHeigh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</row>
    <row r="800" spans="1:16" ht="12.75" customHeigh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</row>
    <row r="801" spans="1:16" ht="12.75" customHeigh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</row>
    <row r="802" spans="1:16" ht="12.75" customHeigh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</row>
    <row r="803" spans="1:16" ht="12.75" customHeigh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</row>
    <row r="804" spans="1:16" ht="12.75" customHeigh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</row>
    <row r="805" spans="1:16" ht="12.75" customHeigh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</row>
    <row r="806" spans="1:16" ht="12.75" customHeigh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</row>
    <row r="807" spans="1:16" ht="12.75" customHeigh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</row>
    <row r="808" spans="1:16" ht="12.75" customHeigh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</row>
    <row r="809" spans="1:16" ht="12.75" customHeigh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</row>
    <row r="810" spans="1:16" ht="12.75" customHeigh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</row>
    <row r="811" spans="1:16" ht="12.75" customHeigh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</row>
    <row r="812" spans="1:16" ht="12.75" customHeigh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</row>
    <row r="813" spans="1:16" ht="12.75" customHeigh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</row>
    <row r="814" spans="1:16" ht="12.75" customHeigh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</row>
    <row r="815" spans="1:16" ht="12.75" customHeigh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</row>
    <row r="816" spans="1:16" ht="12.75" customHeigh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</row>
    <row r="817" spans="1:16" ht="12.75" customHeigh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</row>
    <row r="818" spans="1:16" ht="12.75" customHeigh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</row>
    <row r="819" spans="1:16" ht="12.75" customHeigh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</row>
    <row r="820" spans="1:16" ht="12.75" customHeigh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</row>
    <row r="821" spans="1:16" ht="12.75" customHeigh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</row>
    <row r="822" spans="1:16" ht="12.75" customHeigh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</row>
    <row r="823" spans="1:16" ht="12.75" customHeigh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</row>
    <row r="824" spans="1:16" ht="12.75" customHeigh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</row>
    <row r="825" spans="1:16" ht="12.75" customHeigh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</row>
    <row r="826" spans="1:16" ht="12.75" customHeigh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</row>
    <row r="827" spans="1:16" ht="12.75" customHeigh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</row>
    <row r="828" spans="1:16" ht="12.75" customHeigh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</row>
    <row r="829" spans="1:16" ht="12.75" customHeigh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</row>
    <row r="830" spans="1:16" ht="12.75" customHeigh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</row>
    <row r="831" spans="1:16" ht="12.75" customHeigh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</row>
    <row r="832" spans="1:16" ht="12.75" customHeigh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</row>
    <row r="833" spans="1:16" ht="12.75" customHeigh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</row>
    <row r="834" spans="1:16" ht="12.75" customHeigh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</row>
    <row r="835" spans="1:16" ht="12.75" customHeigh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</row>
    <row r="836" spans="1:16" ht="12.75" customHeigh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</row>
    <row r="837" spans="1:16" ht="12.75" customHeigh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</row>
    <row r="838" spans="1:16" ht="12.75" customHeigh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</row>
    <row r="839" spans="1:16" ht="12.75" customHeigh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</row>
    <row r="840" spans="1:16" ht="12.75" customHeigh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</row>
    <row r="841" spans="1:16" ht="12.75" customHeigh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</row>
    <row r="842" spans="1:16" ht="12.75" customHeigh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</row>
    <row r="843" spans="1:16" ht="12.75" customHeigh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</row>
    <row r="844" spans="1:16" ht="12.75" customHeigh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</row>
    <row r="845" spans="1:16" ht="12.75" customHeigh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</row>
    <row r="846" spans="1:16" ht="12.75" customHeigh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</row>
    <row r="847" spans="1:16" ht="12.75" customHeigh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</row>
    <row r="848" spans="1:16" ht="12.75" customHeigh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</row>
    <row r="849" spans="1:16" ht="12.75" customHeigh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</row>
    <row r="850" spans="1:16" ht="12.75" customHeigh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</row>
    <row r="851" spans="1:16" ht="12.75" customHeigh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</row>
    <row r="852" spans="1:16" ht="12.75" customHeigh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</row>
    <row r="853" spans="1:16" ht="12.75" customHeigh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</row>
    <row r="854" spans="1:16" ht="12.75" customHeigh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</row>
    <row r="855" spans="1:16" ht="12.75" customHeigh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</row>
    <row r="856" spans="1:16" ht="12.75" customHeigh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</row>
    <row r="857" spans="1:16" ht="12.75" customHeigh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</row>
    <row r="858" spans="1:16" ht="12.75" customHeigh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</row>
    <row r="859" spans="1:16" ht="12.75" customHeigh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</row>
    <row r="860" spans="1:16" ht="12.75" customHeigh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</row>
    <row r="861" spans="1:16" ht="12.75" customHeigh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</row>
    <row r="862" spans="1:16" ht="12.75" customHeigh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</row>
    <row r="863" spans="1:16" ht="12.75" customHeigh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</row>
    <row r="864" spans="1:16" ht="12.75" customHeigh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</row>
    <row r="865" spans="1:16" ht="12.75" customHeigh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</row>
    <row r="866" spans="1:16" ht="12.75" customHeigh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</row>
    <row r="867" spans="1:16" ht="12.75" customHeigh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</row>
    <row r="868" spans="1:16" ht="12.75" customHeigh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</row>
    <row r="869" spans="1:16" ht="12.75" customHeigh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</row>
    <row r="870" spans="1:16" ht="12.75" customHeigh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</row>
    <row r="871" spans="1:16" ht="12.75" customHeigh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</row>
    <row r="872" spans="1:16" ht="12.75" customHeigh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</row>
    <row r="873" spans="1:16" ht="12.75" customHeigh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</row>
    <row r="874" spans="1:16" ht="12.75" customHeigh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</row>
    <row r="875" spans="1:16" ht="12.75" customHeigh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</row>
    <row r="876" spans="1:16" ht="12.75" customHeigh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</row>
    <row r="877" spans="1:16" ht="12.75" customHeigh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</row>
    <row r="878" spans="1:16" ht="12.75" customHeigh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</row>
    <row r="879" spans="1:16" ht="12.75" customHeigh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</row>
    <row r="880" spans="1:16" ht="12.75" customHeigh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</row>
    <row r="881" spans="1:16" ht="12.75" customHeigh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</row>
    <row r="882" spans="1:16" ht="12.75" customHeigh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</row>
    <row r="883" spans="1:16" ht="12.75" customHeigh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</row>
    <row r="884" spans="1:16" ht="12.75" customHeigh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</row>
    <row r="885" spans="1:16" ht="12.75" customHeigh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</row>
    <row r="886" spans="1:16" ht="12.75" customHeigh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</row>
    <row r="887" spans="1:16" ht="12.75" customHeigh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</row>
    <row r="888" spans="1:16" ht="12.75" customHeigh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</row>
    <row r="889" spans="1:16" ht="12.75" customHeigh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</row>
    <row r="890" spans="1:16" ht="12.75" customHeigh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</row>
    <row r="891" spans="1:16" ht="12.75" customHeigh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</row>
    <row r="892" spans="1:16" ht="12.75" customHeigh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</row>
    <row r="893" spans="1:16" ht="12.75" customHeigh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</row>
    <row r="894" spans="1:16" ht="12.75" customHeigh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</row>
    <row r="895" spans="1:16" ht="12.75" customHeigh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</row>
    <row r="896" spans="1:16" ht="12.75" customHeigh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</row>
    <row r="897" spans="1:16" ht="12.75" customHeigh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</row>
    <row r="898" spans="1:16" ht="12.75" customHeigh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</row>
    <row r="899" spans="1:16" ht="12.75" customHeigh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</row>
    <row r="900" spans="1:16" ht="12.75" customHeigh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</row>
    <row r="901" spans="1:16" ht="12.75" customHeigh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</row>
    <row r="902" spans="1:16" ht="12.75" customHeigh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</row>
    <row r="903" spans="1:16" ht="12.75" customHeigh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</row>
    <row r="904" spans="1:16" ht="12.75" customHeigh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</row>
    <row r="905" spans="1:16" ht="12.75" customHeigh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</row>
    <row r="906" spans="1:16" ht="12.75" customHeigh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</row>
    <row r="907" spans="1:16" ht="12.75" customHeigh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</row>
    <row r="908" spans="1:16" ht="12.75" customHeigh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</row>
    <row r="909" spans="1:16" ht="12.75" customHeigh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</row>
    <row r="910" spans="1:16" ht="12.75" customHeigh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</row>
    <row r="911" spans="1:16" ht="12.75" customHeigh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</row>
    <row r="912" spans="1:16" ht="12.75" customHeigh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</row>
    <row r="913" spans="1:16" ht="12.75" customHeigh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</row>
    <row r="914" spans="1:16" ht="12.75" customHeigh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</row>
    <row r="915" spans="1:16" ht="12.75" customHeigh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</row>
    <row r="916" spans="1:16" ht="12.75" customHeigh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</row>
    <row r="917" spans="1:16" ht="12.75" customHeigh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</row>
    <row r="918" spans="1:16" ht="12.75" customHeigh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</row>
    <row r="919" spans="1:16" ht="12.75" customHeigh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</row>
    <row r="920" spans="1:16" ht="12.75" customHeigh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</row>
    <row r="921" spans="1:16" ht="12.75" customHeigh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</row>
    <row r="922" spans="1:16" ht="12.75" customHeigh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</row>
    <row r="923" spans="1:16" ht="12.75" customHeigh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</row>
    <row r="924" spans="1:16" ht="12.75" customHeigh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</row>
    <row r="925" spans="1:16" ht="12.75" customHeigh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</row>
    <row r="926" spans="1:16" ht="12.75" customHeigh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</row>
    <row r="927" spans="1:16" ht="12.75" customHeigh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</row>
    <row r="928" spans="1:16" ht="12.75" customHeigh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</row>
    <row r="929" spans="1:16" ht="12.75" customHeigh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</row>
    <row r="930" spans="1:16" ht="12.75" customHeigh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</row>
    <row r="931" spans="1:16" ht="12.75" customHeigh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</row>
    <row r="932" spans="1:16" ht="12.75" customHeigh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</row>
    <row r="933" spans="1:16" ht="12.75" customHeigh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</row>
    <row r="934" spans="1:16" ht="12.75" customHeigh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</row>
    <row r="935" spans="1:16" ht="12.75" customHeigh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</row>
    <row r="936" spans="1:16" ht="12.75" customHeigh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</row>
    <row r="937" spans="1:16" ht="12.75" customHeigh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</row>
    <row r="938" spans="1:16" ht="12.75" customHeigh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</row>
    <row r="939" spans="1:16" ht="12.75" customHeigh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</row>
    <row r="940" spans="1:16" ht="12.75" customHeigh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</row>
    <row r="941" spans="1:16" ht="12.75" customHeigh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</row>
    <row r="942" spans="1:16" ht="12.75" customHeigh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</row>
    <row r="943" spans="1:16" ht="12.75" customHeigh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</row>
    <row r="944" spans="1:16" ht="12.75" customHeigh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</row>
    <row r="945" spans="1:16" ht="12.75" customHeigh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</row>
    <row r="946" spans="1:16" ht="12.75" customHeigh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</row>
    <row r="947" spans="1:16" ht="12.75" customHeigh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</row>
    <row r="948" spans="1:16" ht="12.75" customHeigh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</row>
    <row r="949" spans="1:16" ht="12.75" customHeigh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</row>
    <row r="950" spans="1:16" ht="12.75" customHeigh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</row>
    <row r="951" spans="1:16" ht="12.75" customHeigh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</row>
    <row r="952" spans="1:16" ht="12.75" customHeigh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</row>
    <row r="953" spans="1:16" ht="12.75" customHeigh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</row>
    <row r="954" spans="1:16" ht="12.75" customHeigh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</row>
    <row r="955" spans="1:16" ht="12.75" customHeigh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</row>
    <row r="956" spans="1:16" ht="12.75" customHeigh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</row>
    <row r="957" spans="1:16" ht="12.75" customHeigh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</row>
    <row r="958" spans="1:16" ht="12.75" customHeigh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</row>
    <row r="959" spans="1:16" ht="12.75" customHeigh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</row>
    <row r="960" spans="1:16" ht="12.75" customHeigh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</row>
    <row r="961" spans="1:16" ht="12.75" customHeigh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</row>
    <row r="962" spans="1:16" ht="12.75" customHeigh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</row>
    <row r="963" spans="1:16" ht="12.75" customHeigh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</row>
    <row r="964" spans="1:16" ht="12.75" customHeigh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</row>
    <row r="965" spans="1:16" ht="12.75" customHeigh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</row>
    <row r="966" spans="1:16" ht="12.75" customHeigh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</row>
    <row r="967" spans="1:16" ht="12.75" customHeigh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</row>
    <row r="968" spans="1:16" ht="12.75" customHeigh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</row>
    <row r="969" spans="1:16" ht="12.75" customHeigh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</row>
    <row r="970" spans="1:16" ht="12.75" customHeigh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</row>
    <row r="971" spans="1:16" ht="12.75" customHeigh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</row>
    <row r="972" spans="1:16" ht="12.75" customHeigh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</row>
    <row r="973" spans="1:16" ht="12.75" customHeigh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</row>
    <row r="974" spans="1:16" ht="12.75" customHeigh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</row>
    <row r="975" spans="1:16" ht="12.75" customHeigh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</row>
    <row r="976" spans="1:16" ht="12.75" customHeigh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</row>
    <row r="977" spans="1:16" ht="12.75" customHeigh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</row>
    <row r="978" spans="1:16" ht="12.75" customHeigh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</row>
    <row r="979" spans="1:16" ht="12.75" customHeigh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</row>
    <row r="980" spans="1:16" ht="12.75" customHeigh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</row>
    <row r="981" spans="1:16" ht="12.75" customHeigh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</row>
    <row r="982" spans="1:16" ht="12.75" customHeigh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</row>
    <row r="983" spans="1:16" ht="12.75" customHeigh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</row>
    <row r="984" spans="1:16" ht="12.75" customHeigh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</row>
    <row r="985" spans="1:16" ht="12.75" customHeigh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</row>
    <row r="986" spans="1:16" ht="12.75" customHeigh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</row>
    <row r="987" spans="1:16" ht="12.75" customHeigh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</row>
    <row r="988" spans="1:16" ht="12.75" customHeigh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</row>
    <row r="989" spans="1:16" ht="12.75" customHeigh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</row>
    <row r="990" spans="1:16" ht="12.75" customHeigh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</row>
    <row r="991" spans="1:16" ht="12.75" customHeigh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</row>
    <row r="992" spans="1:16" ht="12.75" customHeigh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</row>
    <row r="993" spans="1:16" ht="12.75" customHeigh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</row>
    <row r="994" spans="1:16" ht="12.75" customHeigh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</row>
    <row r="995" spans="1:16" ht="12.75" customHeigh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</row>
    <row r="996" spans="1:16" ht="12.75" customHeigh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</row>
    <row r="997" spans="1:16" ht="12.75" customHeight="1" x14ac:dyDescent="0.25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</row>
    <row r="998" spans="1:16" ht="12.75" customHeight="1" x14ac:dyDescent="0.25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</row>
    <row r="999" spans="1:16" ht="12.75" customHeight="1" x14ac:dyDescent="0.25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</row>
    <row r="1000" spans="1:16" ht="12.75" customHeight="1" x14ac:dyDescent="0.25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</row>
  </sheetData>
  <mergeCells count="178">
    <mergeCell ref="B183:C183"/>
    <mergeCell ref="B184:C184"/>
    <mergeCell ref="B185:C185"/>
    <mergeCell ref="B186:C186"/>
    <mergeCell ref="B187:C187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208:C208"/>
    <mergeCell ref="B209:C209"/>
    <mergeCell ref="B217:C217"/>
    <mergeCell ref="B218:C218"/>
    <mergeCell ref="B210:C210"/>
    <mergeCell ref="B211:C211"/>
    <mergeCell ref="B212:C212"/>
    <mergeCell ref="B213:C213"/>
    <mergeCell ref="B214:C214"/>
    <mergeCell ref="B215:C215"/>
    <mergeCell ref="B216:C216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171:C171"/>
    <mergeCell ref="B172:C172"/>
    <mergeCell ref="B173:C173"/>
    <mergeCell ref="A148:A156"/>
    <mergeCell ref="B157:C157"/>
    <mergeCell ref="A157:A188"/>
    <mergeCell ref="A189:A218"/>
    <mergeCell ref="A138:A147"/>
    <mergeCell ref="B138:C138"/>
    <mergeCell ref="B139:C139"/>
    <mergeCell ref="B140:C140"/>
    <mergeCell ref="B141:C141"/>
    <mergeCell ref="B142:C142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52:C152"/>
    <mergeCell ref="B153:C153"/>
    <mergeCell ref="B154:C154"/>
    <mergeCell ref="B155:C155"/>
    <mergeCell ref="B156:C156"/>
    <mergeCell ref="B158:C158"/>
    <mergeCell ref="B159:C159"/>
    <mergeCell ref="B160:C160"/>
    <mergeCell ref="B161:C161"/>
    <mergeCell ref="B144:C144"/>
    <mergeCell ref="B145:C145"/>
    <mergeCell ref="B146:C146"/>
    <mergeCell ref="B147:C147"/>
    <mergeCell ref="B143:C143"/>
    <mergeCell ref="B148:C148"/>
    <mergeCell ref="B149:C149"/>
    <mergeCell ref="B150:C150"/>
    <mergeCell ref="B151:C151"/>
    <mergeCell ref="B136:C136"/>
    <mergeCell ref="B137:C137"/>
    <mergeCell ref="A104:A113"/>
    <mergeCell ref="B104:B106"/>
    <mergeCell ref="A114:A119"/>
    <mergeCell ref="A121:C121"/>
    <mergeCell ref="A122:A137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C94:C99"/>
    <mergeCell ref="C101:C102"/>
    <mergeCell ref="C104:C106"/>
    <mergeCell ref="C114:C119"/>
    <mergeCell ref="D114:D119"/>
    <mergeCell ref="A72:A79"/>
    <mergeCell ref="A80:A87"/>
    <mergeCell ref="B83:B84"/>
    <mergeCell ref="A88:A93"/>
    <mergeCell ref="C91:C93"/>
    <mergeCell ref="A94:A99"/>
    <mergeCell ref="A100:A103"/>
    <mergeCell ref="E103:F103"/>
    <mergeCell ref="D104:D106"/>
    <mergeCell ref="E104:F104"/>
    <mergeCell ref="E92:F92"/>
    <mergeCell ref="E93:F93"/>
    <mergeCell ref="E94:F94"/>
    <mergeCell ref="E95:F95"/>
    <mergeCell ref="E96:F96"/>
    <mergeCell ref="E97:F97"/>
    <mergeCell ref="E98:F98"/>
    <mergeCell ref="E86:F86"/>
    <mergeCell ref="E87:F87"/>
    <mergeCell ref="E88:F88"/>
    <mergeCell ref="E89:F89"/>
    <mergeCell ref="E90:F90"/>
    <mergeCell ref="E91:F91"/>
    <mergeCell ref="E99:F99"/>
    <mergeCell ref="E100:F100"/>
    <mergeCell ref="D101:D102"/>
    <mergeCell ref="E101:F101"/>
    <mergeCell ref="E102:F102"/>
    <mergeCell ref="E79:F79"/>
    <mergeCell ref="E77:F77"/>
    <mergeCell ref="E78:F78"/>
    <mergeCell ref="E80:F80"/>
    <mergeCell ref="E81:F81"/>
    <mergeCell ref="E82:F82"/>
    <mergeCell ref="E83:F83"/>
    <mergeCell ref="E84:F84"/>
    <mergeCell ref="E85:F85"/>
    <mergeCell ref="E73:F73"/>
    <mergeCell ref="E74:F74"/>
    <mergeCell ref="E75:F75"/>
    <mergeCell ref="E76:F76"/>
    <mergeCell ref="C47:C48"/>
    <mergeCell ref="D47:D48"/>
    <mergeCell ref="B52:D52"/>
    <mergeCell ref="C61:D61"/>
    <mergeCell ref="D62:E62"/>
    <mergeCell ref="E72:F72"/>
    <mergeCell ref="F47:F48"/>
    <mergeCell ref="G47:G48"/>
    <mergeCell ref="B32:D32"/>
    <mergeCell ref="B33:B34"/>
    <mergeCell ref="C33:C34"/>
    <mergeCell ref="B40:G40"/>
    <mergeCell ref="B41:C42"/>
    <mergeCell ref="D41:G41"/>
    <mergeCell ref="B43:B48"/>
    <mergeCell ref="B2:D2"/>
    <mergeCell ref="B10:D10"/>
    <mergeCell ref="A17:F17"/>
    <mergeCell ref="A18:B19"/>
    <mergeCell ref="C18:F18"/>
    <mergeCell ref="A20:A22"/>
    <mergeCell ref="B24:D24"/>
    <mergeCell ref="C44:C45"/>
    <mergeCell ref="D44:D45"/>
    <mergeCell ref="E44:E45"/>
    <mergeCell ref="F44:F45"/>
  </mergeCells>
  <printOptions horizontalCentered="1"/>
  <pageMargins left="0.39370078740157483" right="0.39370078740157483" top="0.59055118110236227" bottom="1" header="0" footer="0"/>
  <pageSetup paperSize="14" scale="66" orientation="landscape"/>
  <headerFooter>
    <oddFooter>&amp;LDIVISIÓN DE PYMES 18/06/2003&amp;RF2356-DPYM VERSIÓN 01  PÁG. &amp;P 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SST-MAT-002</vt:lpstr>
      <vt:lpstr>LISTAS</vt:lpstr>
      <vt:lpstr>ANEXO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</dc:creator>
  <cp:lastModifiedBy>USER</cp:lastModifiedBy>
  <dcterms:created xsi:type="dcterms:W3CDTF">2000-07-29T14:19:46Z</dcterms:created>
  <dcterms:modified xsi:type="dcterms:W3CDTF">2026-06-26T21:40:25Z</dcterms:modified>
</cp:coreProperties>
</file>